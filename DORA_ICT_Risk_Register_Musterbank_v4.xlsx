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engas\Documents\Capstone\final\"/>
    </mc:Choice>
  </mc:AlternateContent>
  <bookViews>
    <workbookView xWindow="0" yWindow="0" windowWidth="16380" windowHeight="8196" tabRatio="500" activeTab="4"/>
  </bookViews>
  <sheets>
    <sheet name="Overview" sheetId="1" r:id="rId1"/>
    <sheet name="ICT Risk Register" sheetId="2" r:id="rId2"/>
    <sheet name="Risk Matrix" sheetId="3" r:id="rId3"/>
    <sheet name="DORA Gap Analysis" sheetId="4" r:id="rId4"/>
    <sheet name="Vendor Risk (Art.28)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2" l="1"/>
  <c r="R3" i="2" s="1"/>
  <c r="L16" i="2"/>
  <c r="R16" i="2" s="1"/>
  <c r="J15" i="1" s="1"/>
  <c r="L12" i="2"/>
  <c r="R12" i="2" s="1"/>
  <c r="L17" i="2"/>
  <c r="R17" i="2" s="1"/>
  <c r="L11" i="2"/>
  <c r="R11" i="2" s="1"/>
  <c r="L7" i="2"/>
  <c r="R7" i="2" s="1"/>
  <c r="L9" i="2"/>
  <c r="R9" i="2" s="1"/>
  <c r="R14" i="2"/>
  <c r="L14" i="2"/>
  <c r="R15" i="2"/>
  <c r="L15" i="2"/>
  <c r="L10" i="2"/>
  <c r="R10" i="2" s="1"/>
  <c r="L13" i="2"/>
  <c r="R13" i="2" s="1"/>
  <c r="L5" i="2"/>
  <c r="R5" i="2" s="1"/>
  <c r="R4" i="2"/>
  <c r="L4" i="2"/>
  <c r="L8" i="2"/>
  <c r="R8" i="2" s="1"/>
  <c r="L6" i="2"/>
  <c r="R6" i="2" s="1"/>
  <c r="I15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J8" i="1"/>
  <c r="I8" i="1"/>
  <c r="H8" i="1"/>
  <c r="G8" i="1"/>
  <c r="F8" i="1"/>
  <c r="E8" i="1"/>
  <c r="D8" i="1"/>
  <c r="C8" i="1"/>
  <c r="B8" i="1"/>
  <c r="A8" i="1"/>
  <c r="H5" i="1"/>
  <c r="G5" i="1"/>
  <c r="F5" i="1"/>
  <c r="E5" i="1"/>
  <c r="D5" i="1"/>
  <c r="C5" i="1"/>
  <c r="B5" i="1"/>
  <c r="A5" i="1"/>
  <c r="J13" i="1" l="1"/>
  <c r="J14" i="1"/>
  <c r="I12" i="1"/>
  <c r="I13" i="1"/>
  <c r="I14" i="1"/>
  <c r="J12" i="1"/>
  <c r="I5" i="1"/>
  <c r="I11" i="1"/>
  <c r="J11" i="1"/>
  <c r="J5" i="1"/>
</calcChain>
</file>

<file path=xl/sharedStrings.xml><?xml version="1.0" encoding="utf-8"?>
<sst xmlns="http://schemas.openxmlformats.org/spreadsheetml/2006/main" count="1266" uniqueCount="710">
  <si>
    <t>DORA ICT Risk Register — Musterbank GmbH</t>
  </si>
  <si>
    <t>EXECUTIVE DASHBOARD — ICT RISK SUMMARY  |  Musterbank GmbH  |  DORA (EU 2022/2554)</t>
  </si>
  <si>
    <t>Total Risks</t>
  </si>
  <si>
    <t>Critical
(16–25)</t>
  </si>
  <si>
    <t>High
(11–15)</t>
  </si>
  <si>
    <t>Medium
(6–10)</t>
  </si>
  <si>
    <t>Low
(1–5)</t>
  </si>
  <si>
    <t>Open</t>
  </si>
  <si>
    <t>In Progress</t>
  </si>
  <si>
    <t>Mitigated</t>
  </si>
  <si>
    <t>Avg Gross
Score</t>
  </si>
  <si>
    <t>Avg Residual
Score</t>
  </si>
  <si>
    <t>KRI BREACH MONITORING  |  GAP ANALYSIS SUMMARY  |  VENDOR RISK</t>
  </si>
  <si>
    <t>KRI Breaches</t>
  </si>
  <si>
    <t>KRI Amber</t>
  </si>
  <si>
    <t>KRI Within
Tolerance</t>
  </si>
  <si>
    <t>Gaps: Missing</t>
  </si>
  <si>
    <t>Gaps: Partial</t>
  </si>
  <si>
    <t>Gaps: Met</t>
  </si>
  <si>
    <t>Critical
Priority Gaps</t>
  </si>
  <si>
    <t>Vendors:
Critical</t>
  </si>
  <si>
    <t>Exit Plans
Missing</t>
  </si>
  <si>
    <t>Art.30
Partial</t>
  </si>
  <si>
    <t>DORA PILLAR RISK BREAKDOWN</t>
  </si>
  <si>
    <t>DORA Pillar</t>
  </si>
  <si>
    <t>Risk Count</t>
  </si>
  <si>
    <t>Critical</t>
  </si>
  <si>
    <t>High</t>
  </si>
  <si>
    <t>Medium</t>
  </si>
  <si>
    <t>Low</t>
  </si>
  <si>
    <t>Avg Gross Score</t>
  </si>
  <si>
    <t>Avg Residual Score</t>
  </si>
  <si>
    <t>ICT Risk Management</t>
  </si>
  <si>
    <t>ICT Incident Mgmt &amp; Reporting</t>
  </si>
  <si>
    <t>Digital Operational Resilience Testing</t>
  </si>
  <si>
    <t>ICT Third-Party Risk Management</t>
  </si>
  <si>
    <t>Information Sharing</t>
  </si>
  <si>
    <t>RISK SCORING REFERENCE  |  Gross = L×I  |  CE: 0%=No Controls | 25%=Weak | 50%=Partial | 75%=Effective | 90%=Strong | 95%=Optimised (max — residual always remains)  |  Residual = Gross×(1−CE%)  |  RATINGS: 1–5=Low | 6–10=Medium | 11–15=High | 16–25=Critical  |  ACTIONS: Low=Accept/Monitor | Medium=Mgmt Review | High=Treatment Plan | Critical=Immediate Escalation</t>
  </si>
  <si>
    <t>HOW TO USE THIS WORKBOOK</t>
  </si>
  <si>
    <t>Sheet 2 – ICT Risk Register</t>
  </si>
  <si>
    <t>Full DORA-compliant ICT risk inventory for Musterbank GmbH. 15 risks across 5 DORA pillars. Columns: Gross Risk (L×I before controls) → CE% (0/25/50/75/90/95 scale, capped at 95%) → Residual Risk (Gross×(1−CE%)) → Required Management Action → KRI current value vs Breach Threshold vs Risk Tolerance. Gross and Residual ratings are formula-driven and update dynamically. Consistent with ISO 27001, NIST SP 800-30, DORA.</t>
  </si>
  <si>
    <t>Sheet 3 – Risk Matrix</t>
  </si>
  <si>
    <t>5×5 heat maps: Gross Risk (before controls) vs Residual Risk (after controls). Rating scale: 1–5 Low | 6–10 Medium | 11–15 High | 16–25 Critical. Control Effectiveness scale: 0%=No Controls | 25%=Weak | 50%=Partial | 75%=Effective | 90%=Strong | 95%=Optimised. KRI vs Risk Tolerance summary with CE% capped at 95% — residual risk always remains.</t>
  </si>
  <si>
    <t>Sheet 4 – DORA Gap Analysis</t>
  </si>
  <si>
    <t>Maps all DORA pillars and articles against current Musterbank controls. ✔ Met | ◑ Partial | ✘ Missing. Cross-referenced to ISO 27001:2022, BAIT, MaRisk, NIS2. Includes CIF identification, DORA governance obligations, and NIS2 alignment. 34 requirements assessed. Findings consistent with ICT Risk Register risk descriptions and ratings.</t>
  </si>
  <si>
    <t>Sheet 5 – Vendor Risk (Art.28)</t>
  </si>
  <si>
    <t>DORA Article 28 ICT third-party risk register. 8 ICT TPPs assessed: criticality, Art.30 clause status, concentration risk, exit plan status, key finding and action. Findings cross-referenced to Risk Register: AWS (R-003), Temenos (R-010), ABACUS (R-011).</t>
  </si>
  <si>
    <t>Ownership &amp; Review</t>
  </si>
  <si>
    <t>Each risk has a named Risk Owner accountable for KRI monitoring and treatment actions. Risk Register reviewed quarterly by Risk Committee. DORA Gap Analysis reviewed before each BaFin supervisory cycle. Prepared by: Shingirai Marenga | ISO 27001 Lead Auditor | CISM | CISSP | June 2026</t>
  </si>
  <si>
    <t>ICT Risk Register — Musterbank GmbH  |  DORA (EU 2022/2554)  |  Gross Risk = L × I  |  Control Effectiveness: 0% / 25% / 50% / 75% / 90% / 95%  |  Residual = Gross × (1−CE%)  |  CE capped at 95% — residual risk always remains  |  Rating: 1–5 Low | 6–10 Medium | 11–15 High | 16–25 Critical</t>
  </si>
  <si>
    <t>Risk
ID</t>
  </si>
  <si>
    <t>Risk Title</t>
  </si>
  <si>
    <t>Risk Description</t>
  </si>
  <si>
    <t>DORA
Pillar</t>
  </si>
  <si>
    <t>DORA
Article</t>
  </si>
  <si>
    <t>ISO 27001
Clause</t>
  </si>
  <si>
    <t>ICT Asset /
System</t>
  </si>
  <si>
    <t>Threat</t>
  </si>
  <si>
    <t>Vulnerability</t>
  </si>
  <si>
    <t>Gross
Likelihood
(1–5)</t>
  </si>
  <si>
    <t>Gross
Impact
(1–5)</t>
  </si>
  <si>
    <t>Gross Risk
Score
(L×I)</t>
  </si>
  <si>
    <t>Gross
Risk Rating</t>
  </si>
  <si>
    <t>Required
Action</t>
  </si>
  <si>
    <t>Control / Mitigation Description</t>
  </si>
  <si>
    <t>Control
Owner</t>
  </si>
  <si>
    <t>Control
Effectiveness
(0/25/50/75/90/95%)</t>
  </si>
  <si>
    <t>Residual
Risk Score
(Gross×(1−CE%))</t>
  </si>
  <si>
    <t>Residual
Risk Rating</t>
  </si>
  <si>
    <t>Treatment
Status</t>
  </si>
  <si>
    <t>KRI
(Key Risk Indicator)</t>
  </si>
  <si>
    <t>KRI Current
Value</t>
  </si>
  <si>
    <t>KRI Breach
Threshold</t>
  </si>
  <si>
    <t>Risk Tolerance</t>
  </si>
  <si>
    <t>KRI vs
Tolerance</t>
  </si>
  <si>
    <t>Risk
Treatment</t>
  </si>
  <si>
    <t>Risk
Owner</t>
  </si>
  <si>
    <t>Review
Date</t>
  </si>
  <si>
    <t>Next
Review</t>
  </si>
  <si>
    <t>DORA Reporting
Obligation</t>
  </si>
  <si>
    <t>RTO
Target</t>
  </si>
  <si>
    <t>RPO
Target</t>
  </si>
  <si>
    <t>BaFin Notification
Deadline</t>
  </si>
  <si>
    <t>R-001</t>
  </si>
  <si>
    <t>Ransomware on Core Banking</t>
  </si>
  <si>
    <t>Ransomware attack encrypts TEMENOS T24 core banking; processing outage exceeds 4 hours triggering DORA Art.19 major incident notification to BaFin. EDR coverage at 62%, immutable backups deployed but DR runbook untested in 18 months.</t>
  </si>
  <si>
    <t>Art. 9–10</t>
  </si>
  <si>
    <t>ISO 27001 A.8.8, A.12.3, A.16.1</t>
  </si>
  <si>
    <t>TEMENOS T24 Core Banking</t>
  </si>
  <si>
    <t>Ransomware / Cybercriminal</t>
  </si>
  <si>
    <t>EDR coverage at 62%; network segmentation incomplete; DR runbook untested 18 months</t>
  </si>
  <si>
    <t>Immediate escalation to senior management / Risk Committee</t>
  </si>
  <si>
    <t>Network micro-segmentation; EDR deployment (62% coverage, 100% target); immutable offsite backups (3-2-1 rule); DR runbook to be tested Q4 2026; BaFin incident response plan in place</t>
  </si>
  <si>
    <t>CISO / IT Operations</t>
  </si>
  <si>
    <t>Treatment plan mandatory — senior management review</t>
  </si>
  <si>
    <t>EDR endpoint coverage (%); RTO achieved in last DR test (hours)</t>
  </si>
  <si>
    <t>EDR: 62%; Last RTO test: 6.5h (target ≤4h); Backup restore: untested</t>
  </si>
  <si>
    <t>EDR &lt;100% → amber; last RTO &gt;4h → breach; backup not tested &gt;6m → amber</t>
  </si>
  <si>
    <t>EDR ≥100%; RTO ≤4h validated quarterly; backup restore tested every 6 months</t>
  </si>
  <si>
    <t>⚠ BREACH – Immediate Action</t>
  </si>
  <si>
    <t>Reduce</t>
  </si>
  <si>
    <t>CISO</t>
  </si>
  <si>
    <t>2026-09-30</t>
  </si>
  <si>
    <t>2026-12-31</t>
  </si>
  <si>
    <t>Yes – Art.19 major incident</t>
  </si>
  <si>
    <t>4 hours</t>
  </si>
  <si>
    <t>1 hour</t>
  </si>
  <si>
    <t>4h initial notification to BaFin / BuBa</t>
  </si>
  <si>
    <t>R-002</t>
  </si>
  <si>
    <t>ICT Incident Under-reporting</t>
  </si>
  <si>
    <t>ICT incidents misclassified resulting in failure to meet the DORA Art.19 4-hour initial notification deadline to BaFin. No DORA-specific classification matrix in place; average notification time currently 5.2 hours against the 4-hour threshold.</t>
  </si>
  <si>
    <t>ICT Incident Management &amp; Reporting</t>
  </si>
  <si>
    <t>Art. 17–20</t>
  </si>
  <si>
    <t>ISO 27001 A.5.25, A.5.26</t>
  </si>
  <si>
    <t>Incident Mgmt Platform (JIRA / Splunk)</t>
  </si>
  <si>
    <t>Regulatory non-compliance</t>
  </si>
  <si>
    <t>No DORA classification matrix; manual escalation; average notification time 5.2h vs 4h threshold</t>
  </si>
  <si>
    <t>DORA incident classification matrix under development; SIEM alerting partially automated; quarterly staff training conducted; playbook drafted but not fully tested</t>
  </si>
  <si>
    <t>Chief Risk Officer</t>
  </si>
  <si>
    <t>% incidents correctly classified per DORA matrix; average time-to-initial-notification (hours)</t>
  </si>
  <si>
    <t>Classification accuracy: 78%; Avg notification time: 5.2h (threshold: 4h)</t>
  </si>
  <si>
    <t>Classification &lt;95% → amber; notification avg &gt;4h → breach escalation to CRO</t>
  </si>
  <si>
    <t>Classification ≥95%; notification avg ≤3h; playbook tested quarterly</t>
  </si>
  <si>
    <t>2026-07-31</t>
  </si>
  <si>
    <t>2026-10-31</t>
  </si>
  <si>
    <t>Yes – Art.19 reporting timeline</t>
  </si>
  <si>
    <t>N/A</t>
  </si>
  <si>
    <t>4h initial; 72h intermediate; 1 month final</t>
  </si>
  <si>
    <t>R-003</t>
  </si>
  <si>
    <t>Cloud Concentration Risk (AWS)</t>
  </si>
  <si>
    <t>70% of critical ICT services hosted on a single cloud provider (AWS Frankfurt). No multi-cloud failover, no tested exit plan, and contractual lock-in. Violates DORA Art.29 concentration risk guidance. Exit plan does not exist; AWS outage would cause a systemic bank-wide ICT failure.</t>
  </si>
  <si>
    <t>Art. 28–30</t>
  </si>
  <si>
    <t>ISO 27001 A.15.1, A.17.1</t>
  </si>
  <si>
    <t>AWS Frankfurt (eu-central-1)</t>
  </si>
  <si>
    <t>Cloud provider outage / regulatory-mandated exit</t>
  </si>
  <si>
    <t>Single provider dependency at 70%; no exit plan; no multi-cloud failover; contractual lock-in</t>
  </si>
  <si>
    <t>Multi-cloud roadmap initiated (Azure EU pilot Q3 2026); Art.30 contractual clauses partially inserted (60%); exit plan Phase 1 drafted; concentration risk formally reviewed with CTO</t>
  </si>
  <si>
    <t>CTO / Procurement</t>
  </si>
  <si>
    <t>Cloud provider concentration ratio (%); exit plan status; Art.30 clause coverage (%); months since last exit plan review</t>
  </si>
  <si>
    <t>Concentration: 70%; Exit plan: Phase 1 draft only; Art.30 coverage: 60%; Last review: 14 months ago</t>
  </si>
  <si>
    <t>Concentration &gt;60% AND no tested exit plan → breach; Art.30 &lt;95% by Dec 2026 → amber</t>
  </si>
  <si>
    <t>Concentration ≤55%; fully documented and tested exit plan; Art.30 ≥95% coverage</t>
  </si>
  <si>
    <t>CTO</t>
  </si>
  <si>
    <t>Yes – Art.28 Register of Information; Art.29 concentration risk</t>
  </si>
  <si>
    <t>2 hours</t>
  </si>
  <si>
    <t>Art.19 if cloud failure triggers major incident</t>
  </si>
  <si>
    <t>R-004</t>
  </si>
  <si>
    <t>TLPT Scope Gap</t>
  </si>
  <si>
    <t>Threat-Led Penetration Test (TLPT) has never been conducted. Musterbank exceeds the DORA Art.26 thresholds that make TLPT mandatory. No TIBER-DE-aligned red-team programme exists. Advanced persistent threat exposure in core banking and payment systems is unquantified. BaFin has not been notified.</t>
  </si>
  <si>
    <t>Art. 25–27</t>
  </si>
  <si>
    <t>ISO 27001 A.8.8</t>
  </si>
  <si>
    <t>Core Banking; Payment Gateway; Internet Banking</t>
  </si>
  <si>
    <t>Advanced Persistent Threat (APT) / nation-state actor</t>
  </si>
  <si>
    <t>No TLPT ever conducted; no red-team provider contracted; BaFin not notified; no TIBER-DE scope</t>
  </si>
  <si>
    <t>TLPT scope defined per TIBER-DE methodology; threat intelligence input in progress; red-team provider RFP issued; BaFin pre-notification planned for Q3 2026</t>
  </si>
  <si>
    <t>TLPT completion status vs DORA deadline; critical finding remediation rate (%); days since last red-team exercise</t>
  </si>
  <si>
    <t>TLPT status: Not started; Red-team exercises: Never; TIBER-DE scope: In progress</t>
  </si>
  <si>
    <t>TLPT not commenced by Q4 2026 → regulatory breach; critical findings open &gt;30d → escalation</t>
  </si>
  <si>
    <t>TLPT completed per DORA schedule; all critical findings closed ≤14d post-test</t>
  </si>
  <si>
    <t>2027-06-30</t>
  </si>
  <si>
    <t>Yes – Art.26 TLPT obligation mandatory</t>
  </si>
  <si>
    <t>BaFin notification required before TLPT commencement</t>
  </si>
  <si>
    <t>R-005</t>
  </si>
  <si>
    <t>SWIFT Messaging Fraud</t>
  </si>
  <si>
    <t>Compromised SWIFT operator credentials used to initiate fraudulent MT103 payment messages resulting in potential EUR multi-million financial loss. Hardware MFA now enforced on 95% of operators (5% gap remaining); dual-authorisation controls active for payments &gt;EUR 100k.</t>
  </si>
  <si>
    <t>Art. 9</t>
  </si>
  <si>
    <t>ISO 27001 A.9.4, A.12.4</t>
  </si>
  <si>
    <t>SWIFT Alliance Gateway</t>
  </si>
  <si>
    <t>Insider threat / Business Email Compromise</t>
  </si>
  <si>
    <t>MFA adoption at 95% (5% gap); SWIFT CSCF v2024 compliance not yet fully verified</t>
  </si>
  <si>
    <t>Hardware MFA (YubiKey) enforced on SWIFT operators; dual-authorisation mandatory &gt;EUR 100k; SWIFT CSCF v2024 compliance verification in progress; anomaly detection active on all SWIFT transactions</t>
  </si>
  <si>
    <t>Head of Payments / IT Security</t>
  </si>
  <si>
    <t>Accept and monitor — annual review sufficient</t>
  </si>
  <si>
    <t>MFA adoption rate across all SWIFT operators (%); SWIFT anomaly alerts triggered per month; dual-auth exception count per month</t>
  </si>
  <si>
    <t>MFA adoption: 95% (target 100%); Anomaly alerts: 1/month (investigated, no breach); Dual-auth exceptions: 0</t>
  </si>
  <si>
    <t>Any unapproved SWIFT transaction → critical; MFA &lt;100% → breach; dual-auth exception → immediate review</t>
  </si>
  <si>
    <t>MFA 100% of all operators; zero unapproved transactions; dual-auth exceptions = 0</t>
  </si>
  <si>
    <t>✔ Within Tolerance</t>
  </si>
  <si>
    <t>Head of Payments</t>
  </si>
  <si>
    <t>2026-08-31</t>
  </si>
  <si>
    <t>2026-11-30</t>
  </si>
  <si>
    <t>Yes – Art.9; Art.19 if material financial loss</t>
  </si>
  <si>
    <t>Immediate escalation; Art.19 within 4h if financial loss is material</t>
  </si>
  <si>
    <t>R-006</t>
  </si>
  <si>
    <t>Insider Data Exfiltration</t>
  </si>
  <si>
    <t>Privileged employee exfiltrates customer PII and financial data via USB or cloud upload prior to resignation. DLP policy covers 72% of violation SLAs. No User Behaviour Analytics deployed. Joiner/Mover/Leaver process gaps identified. DSGVO 72h breach notification obligation applies.</t>
  </si>
  <si>
    <t>ISO 27001 A.9.2, A.12.4</t>
  </si>
  <si>
    <t>DLP (Forcepoint); Active Directory</t>
  </si>
  <si>
    <t>Malicious or negligent insider</t>
  </si>
  <si>
    <t>DLP SLA compliance at 72%; no UBA tooling; JML process gaps; privileged access recertification 85% complete</t>
  </si>
  <si>
    <t>DLP policy updated and tuned; UBA solution in procurement (shortlist complete); HR JML process reviewed; quarterly privileged access recertification initiated</t>
  </si>
  <si>
    <t>CISO / HR</t>
  </si>
  <si>
    <t>Management review required — active monitoring</t>
  </si>
  <si>
    <t>DLP policy violations reviewed within SLA (%); privileged access recertification completion (%); UBA go-live status</t>
  </si>
  <si>
    <t>DLP SLA: 72% (target ≥95%); Recertification: 85% complete; UBA: procurement stage</t>
  </si>
  <si>
    <t>DLP SLA &lt;90% → amber; recertification &lt;100% → escalate; any confirmed exfiltration event → critical</t>
  </si>
  <si>
    <t>DLP SLA ≥95%; recertification 100% on schedule; UBA live by Q3 2026</t>
  </si>
  <si>
    <t>⚠ Amber – Monitor Closely</t>
  </si>
  <si>
    <t>Yes – Art.9; DSGVO Art.33 72h notification if PII breach confirmed</t>
  </si>
  <si>
    <t>72h DSGVO notification if PII breach confirmed</t>
  </si>
  <si>
    <t>R-007</t>
  </si>
  <si>
    <t>Payment Gateway DDoS</t>
  </si>
  <si>
    <t>DDoS attack renders Finastra payment gateway unavailable for more than 2 hours, blocking customer payment transactions. Cloudflare scrubbing now contracted; secondary ISP uplink activated; last DDoS mitigated in 22 minutes.</t>
  </si>
  <si>
    <t>Art. 17</t>
  </si>
  <si>
    <t>ISO 27001 A.12.1, A.17.1</t>
  </si>
  <si>
    <t>Payment Gateway (Finastra Fusion)</t>
  </si>
  <si>
    <t>DDoS / Hacktivism / Nation-state</t>
  </si>
  <si>
    <t>Historical single ISP uplink resolved; Cloudflare contracted; rate-limiting under review</t>
  </si>
  <si>
    <t>Cloudflare DDoS scrubbing contracted and active; secondary ISP uplink live; BGP failover tested; load balancing reviewed Q1 2026</t>
  </si>
  <si>
    <t>IT Infrastructure Manager</t>
  </si>
  <si>
    <t>Payment gateway monthly availability (%); DDoS incidents per period; time-to-mitigation for last DDoS event (minutes)</t>
  </si>
  <si>
    <t>Availability: 99.6% (SLA ≥99.9%); DDoS incidents: 1 (mitigated in 22 min); BGP failover: tested</t>
  </si>
  <si>
    <t>Availability &lt;99.5% in any calendar month → amber breach; DDoS mitigation &gt;60 min → escalate</t>
  </si>
  <si>
    <t>Availability ≥99.9% sustained; mitigation ≤15 min; zero unmitigated incidents</t>
  </si>
  <si>
    <t>Yes – Art.17 if availability threshold breached</t>
  </si>
  <si>
    <t>30 minutes</t>
  </si>
  <si>
    <t>4h if DORA major incident threshold met</t>
  </si>
  <si>
    <t>R-008</t>
  </si>
  <si>
    <t>Active Directory Domain Compromise</t>
  </si>
  <si>
    <t>Attacker compromises AD domain admin account via pass-the-hash or Kerberoasting, enabling lateral movement across all bank systems. CyberArk PAM deployed at 88% coverage; 2 shared admin accounts remain outstanding. AD tiering model enforced.</t>
  </si>
  <si>
    <t>ISO 27001 A.9.2, A.9.4</t>
  </si>
  <si>
    <t>Active Directory / Azure AD</t>
  </si>
  <si>
    <t>Credential theft / Pass-the-hash / Kerberoasting</t>
  </si>
  <si>
    <t>PAM coverage at 88%; 2 shared admin accounts outstanding; AD tiering partially complete</t>
  </si>
  <si>
    <t>CyberArk PAM deployed (88% coverage, target 100%); AD 3-tier model enforced; hardware MFA on admin accounts (100%); privileged session recording active; quarterly purple-team exercise</t>
  </si>
  <si>
    <t>IT Security Manager</t>
  </si>
  <si>
    <t>PAM vault coverage (% privileged accounts); shared admin accounts outstanding (count); admin MFA adoption (%); last purple-team result</t>
  </si>
  <si>
    <t>PAM coverage: 88% (target 100%); Shared admins: 2 remaining; Admin MFA: 100%; Purple team Q1 2026: pass</t>
  </si>
  <si>
    <t>PAM coverage &lt;95% → amber; any shared admin account detected → breach; admin MFA &lt;100% → breach</t>
  </si>
  <si>
    <t>PAM 100%; zero shared admin accounts; MFA 100%; quarterly purple-team: no critical findings</t>
  </si>
  <si>
    <t>Yes – Art.9 ICT security controls</t>
  </si>
  <si>
    <t>Immediate; Art.19 if systems-wide impact confirmed</t>
  </si>
  <si>
    <t>R-009</t>
  </si>
  <si>
    <t>Mobile Banking API Vulnerability</t>
  </si>
  <si>
    <t>SQL injection vulnerability in mobile banking API could allow unauthorised access to customer accounts and mass data breach. DAST pipeline coverage at 74% (target ≥90%); 3 critical vulnerabilities open beyond the 14-day SLA; 2 pen test criticals unresolved.</t>
  </si>
  <si>
    <t>Art. 25</t>
  </si>
  <si>
    <t>ISO 27001 A.14.2, A.8.8</t>
  </si>
  <si>
    <t>Mobile Banking App (iOS/Android API)</t>
  </si>
  <si>
    <t>External attacker / Automated scanner</t>
  </si>
  <si>
    <t>DAST coverage at 74%; 3 critical vulnerabilities open &gt;14d; 2 pen test criticals unresolved; no SAST on all code paths</t>
  </si>
  <si>
    <t>DAST (Burp Suite Enterprise) integrated in CI/CD pipeline; SAST (Checkmarx) deployed; quarterly external pen test; WAF rules reviewed; bug bounty programme launched</t>
  </si>
  <si>
    <t>Head of Digital / IT Security</t>
  </si>
  <si>
    <t>DAST pipeline coverage (%); critical/high vulnerabilities open &gt;14 days (count); pen test critical findings outstanding</t>
  </si>
  <si>
    <t>DAST coverage: 74% (target ≥90%); Criticals open &gt;14d: 3; Pen test criticals outstanding: 2</t>
  </si>
  <si>
    <t>DAST coverage &lt;80% → amber; any critical open &gt;14d → breach escalation; pen test criticals unresolved at sign-off → breach</t>
  </si>
  <si>
    <t>DAST coverage ≥90%; zero criticals open &gt;14d; zero pen test criticals outstanding at sign-off</t>
  </si>
  <si>
    <t>Head of Digital</t>
  </si>
  <si>
    <t>Yes – Art.25 resilience testing</t>
  </si>
  <si>
    <t>4h if customer data breach triggers Art.19</t>
  </si>
  <si>
    <t>R-010</t>
  </si>
  <si>
    <t>Vendor Exit Plan Gap (Temenos)</t>
  </si>
  <si>
    <t>No documented or tested exit strategy exists for Temenos T24 core banking, the bank's most critical ICT dependency. A forced exit would take more than 24 months. Data portability has never been tested. No transition budget has been allocated. This is a mandatory requirement under DORA Art.28(7).</t>
  </si>
  <si>
    <t>Art. 28</t>
  </si>
  <si>
    <t>ISO 27001 A.15.1</t>
  </si>
  <si>
    <t>Vendor insolvency / regulatory-mandated exit</t>
  </si>
  <si>
    <t>No exit plan; data portability untested; no transition budget; proprietary data formats; &gt;24-month exit timeline</t>
  </si>
  <si>
    <t>Exit plan Phase 1 draft in progress; data portability scope defined; transition cost estimate commissioned; Art.28(7) compliance gap formally acknowledged</t>
  </si>
  <si>
    <t>Exit plan completeness (phase); last data portability test (date); transition cost estimate status; exit plan review age (months)</t>
  </si>
  <si>
    <t>Exit plan: Phase 1 draft only; Portability test: Never conducted; Cost estimate: In progress; Review age: 8 months</t>
  </si>
  <si>
    <t>Exit plan not board-approved by Dec 2026 → breach; data portability untested &gt;24m → amber; no cost estimate → amber</t>
  </si>
  <si>
    <t>Fully documented and board-approved exit plan; data portability tested biennially; annual review</t>
  </si>
  <si>
    <t>Yes – Art.28(7) exit plans mandatory for critical ICT TPPs</t>
  </si>
  <si>
    <t>N/A – regulatory compliance obligation</t>
  </si>
  <si>
    <t>R-011</t>
  </si>
  <si>
    <t>Regulatory Reporting System Failure (ABACUS)</t>
  </si>
  <si>
    <t>ABACUS regulatory reporting system failure at month-end prevents submission of BaFin COREP/FINREP reports, resulting in a regulatory breach and potential supervisory fine. DR instance provisioned but April 2026 drill was only a partial pass. Manual fallback last tested March 2026.</t>
  </si>
  <si>
    <t>Art. 19</t>
  </si>
  <si>
    <t>ISO 27001 A.17.1</t>
  </si>
  <si>
    <t>ABACUS Regulatory Reporting (Wolters Kluwer)</t>
  </si>
  <si>
    <t>System failure / data quality error</t>
  </si>
  <si>
    <t>Single ABACUS instance; DR drill partial pass April 2026; manual fallback process not fully validated</t>
  </si>
  <si>
    <t>DR instance provisioned in secondary data centre; manual fallback procedure documented and tabletop-tested; automated data validation scripts deployed; monthly DR failover drill scheduled</t>
  </si>
  <si>
    <t>CFO / IT Operations</t>
  </si>
  <si>
    <t>ABACUS availability during all regulatory reporting windows (%); DR failover drill result (pass/fail); manual fallback last tested (date)</t>
  </si>
  <si>
    <t>Availability: 99.1% (target ≥99.8%); DR drill: April 2026 partial pass; Fallback last tested: March 2026</t>
  </si>
  <si>
    <t>Availability &lt;99.5% in any reporting window → amber; DR drill failure → escalate to CFO; fallback untested &gt;6m → amber</t>
  </si>
  <si>
    <t>Availability ≥99.8% in all reporting windows; DR drill passes monthly; fallback tested quarterly</t>
  </si>
  <si>
    <t>CFO</t>
  </si>
  <si>
    <t>2027-01-31</t>
  </si>
  <si>
    <t>Yes – Art.19 regulatory reporting obligation</t>
  </si>
  <si>
    <t>Immediate BaFin notification if reporting deadline cannot be met</t>
  </si>
  <si>
    <t>R-012</t>
  </si>
  <si>
    <t>Business Email Compromise (BEC)</t>
  </si>
  <si>
    <t>CEO/CFO email account spoofed; finance team transfers EUR 500k to fraudulent account. DMARC/DKIM/SPF now enforced on all domains; phishing click rate at 4.2% (within ≤5% tolerance); zero BEC incidents in last 12 months. Controls substantially effective.</t>
  </si>
  <si>
    <t>ISO 27001 A.12.2, A.16.1</t>
  </si>
  <si>
    <t>Microsoft 365 / Email Gateway</t>
  </si>
  <si>
    <t>Social engineering / BEC fraud</t>
  </si>
  <si>
    <t>Historical: DMARC not enforced. Current: all controls active; click rate 4.2%; 0 incidents</t>
  </si>
  <si>
    <t>DMARC/DKIM/SPF enforced on all domains; mandatory voice callback for payments &gt;EUR 25k; quarterly phishing simulation; Microsoft Defender ATP advanced email filtering active</t>
  </si>
  <si>
    <t>CISO / Head of Finance</t>
  </si>
  <si>
    <t>Phishing simulation click-through rate (%); DMARC enforcement status; BEC incidents in rolling 12-month period</t>
  </si>
  <si>
    <t>Click rate: 4.2% (tolerance ≤5%); DMARC: enforced all domains; BEC incidents: 0 last 12 months</t>
  </si>
  <si>
    <t>Click rate &gt;8% → mandatory retraining; any DMARC gap → immediate remediation; any successful BEC → critical</t>
  </si>
  <si>
    <t>Click rate ≤5%; DMARC enforced 100%; zero successful BEC in any 12-month period</t>
  </si>
  <si>
    <t>Accept (residual)</t>
  </si>
  <si>
    <t>2027-03-31</t>
  </si>
  <si>
    <t>Yes – Art.9; Art.19 if financial loss exceeds major incident threshold</t>
  </si>
  <si>
    <t>4h if financial loss triggers DORA major incident</t>
  </si>
  <si>
    <t>R-013</t>
  </si>
  <si>
    <t>ICT Change Management Failure</t>
  </si>
  <si>
    <t>Uncontrolled production change to TEMENOS T24 causes a 6-hour processing outage and data inconsistency. CAB reinstated; however rollback plan coverage at 82% and 2 change-related incidents occurred last month.</t>
  </si>
  <si>
    <t>Art. 9(4)</t>
  </si>
  <si>
    <t>ISO 27001 A.12.1, A.14.2</t>
  </si>
  <si>
    <t>TEMENOS T24 / CAB Process (JIRA)</t>
  </si>
  <si>
    <t>Operational / human error</t>
  </si>
  <si>
    <t>CAB only recently reinstated; rollback plan coverage 82%; emergency changes bypass process; 2 incidents last month</t>
  </si>
  <si>
    <t>CAB reinstated with mandatory approval gates; rollback plan required for all major and emergency changes; PIR mandatory post-change; monthly change-incident trend reporting to IT Management</t>
  </si>
  <si>
    <t>IT Operations Manager</t>
  </si>
  <si>
    <t>% major changes with documented rollback plan; change-related production incidents per month; PIR completion rate (%)</t>
  </si>
  <si>
    <t>Rollback plan coverage: 82% (target 100%); Change incidents: 2 last month (tolerance ≤1); PIR rate: 91%</t>
  </si>
  <si>
    <t>Rollback plan &lt;100% → amber; &gt;2 change incidents/month → escalate; PIR rate &lt;90% → amber</t>
  </si>
  <si>
    <t>100% rollback plan coverage; ≤1 change incident/month; PIR rate 100% within 5 days of change</t>
  </si>
  <si>
    <t>Yes – Art.9(4) ICT change management</t>
  </si>
  <si>
    <t>4h if change causes DORA-classifiable major incident</t>
  </si>
  <si>
    <t>R-014</t>
  </si>
  <si>
    <t>Information Sharing Non-Participation</t>
  </si>
  <si>
    <t>Musterbank is absent from DORA Art.45 threat intelligence sharing arrangements, missing early warning on sector-wide cyber attacks. FS-ISAC membership application pending; TIBER-DE feed onboarded but not yet operationalised into SIEM detection rules.</t>
  </si>
  <si>
    <t>Art. 45</t>
  </si>
  <si>
    <t>ISO 27001 A.5.7, A.6.1</t>
  </si>
  <si>
    <t>Threat Intelligence Platform (TIP)</t>
  </si>
  <si>
    <t>Regulatory non-compliance / intelligence gap</t>
  </si>
  <si>
    <t>FS-ISAC: application pending; TIBER-DE feed received but not operationalised; no bilateral NDA agreements</t>
  </si>
  <si>
    <t>FS-ISAC membership application submitted and pending approval; BaFin TIBER-DE threat feed onboarded; bilateral sharing NDA with 1 peer bank under negotiation</t>
  </si>
  <si>
    <t>CISO / Risk</t>
  </si>
  <si>
    <t>FS-ISAC membership status; threat intelligence reports actioned per month; bilateral sharing agreements in force (count)</t>
  </si>
  <si>
    <t>FS-ISAC: Application pending approval; Intel reports actioned: 2/month via TIBER-DE; Bilateral agreements: 0 signed</t>
  </si>
  <si>
    <t>FS-ISAC not approved by Jan 2027 → compliance gap; zero intel reports actioned/month → amber</t>
  </si>
  <si>
    <t>FS-ISAC member by Jan 2027; ≥4 reports actioned/month; ≥1 bilateral NDA signed by Q2 2027</t>
  </si>
  <si>
    <t>Yes – Art.45 information sharing obligation</t>
  </si>
  <si>
    <t>R-015</t>
  </si>
  <si>
    <t>BCP/DRP Not Tested</t>
  </si>
  <si>
    <t>ICT Business Continuity Plan and Disaster Recovery Plan have not been tested for 18 months. 7 critical remediation actions from the 2024 test remain outstanding. RTO/RPO have not been validated against the DORA 4-hour threshold. A real incident would expose unknown gaps across all critical ICT systems.</t>
  </si>
  <si>
    <t>Art. 11</t>
  </si>
  <si>
    <t>All critical ICT systems (T24, ABACUS, M365, AWS)</t>
  </si>
  <si>
    <t>Operational failure during live crisis / audit finding</t>
  </si>
  <si>
    <t>BCP/DRP untested 18 months; 7 open 2024 actions; RTO/RPO unvalidated; no live exercise evidence</t>
  </si>
  <si>
    <t>Annual BCP/DRP tabletop exercise scheduled Q3 2026; full DR test for T24 and ABACUS Q4 2026; 2024 open actions under remediation; results to be reported to Risk Committee</t>
  </si>
  <si>
    <t>Months since last BCP/DRP test; DR test RTO/RPO pass rate (%); outstanding remediation actions from last test (count)</t>
  </si>
  <si>
    <t>Last BCP test: 18 months ago; Last DR test: 18 months ago; Open 2024 actions: 7 outstanding</t>
  </si>
  <si>
    <t>BCP not tested &gt;12 months → breach; DR test RTO/RPO failure → escalate; open actions &gt;10 → amber</t>
  </si>
  <si>
    <t>BCP tested annually; DR test passes all RTO/RPO targets; zero open critical actions &gt;30d post-test</t>
  </si>
  <si>
    <t>Yes – Art.11 BCP/DRP testing mandatory</t>
  </si>
  <si>
    <t>4h if live disaster triggers DORA major incident</t>
  </si>
  <si>
    <t>SCORING  |  Gross Risk = Likelihood (1–5) × Impact (1–5)  |  CE Scale: 0%=No Controls  25%=Weak  50%=Partial  75%=Effective  90%=Strong  95%=Optimised  (capped at 95% — residual risk always remains per ISO 27001 / NIST SP 800-30)  |  Residual Risk = Gross × (1−CE%)  |  RATINGS: 1–5 Low | 6–10 Medium | 11–15 High | 16–25 Critical  |  ACTIONS: Low=Accept &amp; Monitor | Medium=Management Review | High=Treatment Plan Mandatory | Critical=Immediate Escalation</t>
  </si>
  <si>
    <t>ICT Risk Heat Map — Musterbank GmbH  |  DORA (EU 2022/2554)  |  Rating Scale: 1–5 Low | 6–10 Medium | 11–15 High | 16–25 Critical  |  Left: Gross Risk (Before Controls)  |  Right: Residual Risk (After Controls, CE% capped at 95%)</t>
  </si>
  <si>
    <t>GROSS RISK  (Before Controls)</t>
  </si>
  <si>
    <t>RESIDUAL RISK  (After Controls, CE ≤95%)</t>
  </si>
  <si>
    <t>IMPACT ▲</t>
  </si>
  <si>
    <t>5</t>
  </si>
  <si>
    <t>R-005
R-008</t>
  </si>
  <si>
    <t>R-001
R-010</t>
  </si>
  <si>
    <t>R-003
R-015</t>
  </si>
  <si>
    <t>4</t>
  </si>
  <si>
    <t>R-006
R-011
R-013</t>
  </si>
  <si>
    <t>R-002
R-004
R-009</t>
  </si>
  <si>
    <t>R-003
R-004</t>
  </si>
  <si>
    <t>3</t>
  </si>
  <si>
    <t>R-007
R-012</t>
  </si>
  <si>
    <t>R-002
R-009</t>
  </si>
  <si>
    <t>2</t>
  </si>
  <si>
    <t>R-005
R-007
R-008</t>
  </si>
  <si>
    <t>1</t>
  </si>
  <si>
    <t>R-012
R-014</t>
  </si>
  <si>
    <t>LIKELIHOOD ▶</t>
  </si>
  <si>
    <t>RISK RATING SCALE  |  Banking / DORA Approach  |  Tied to required management actions</t>
  </si>
  <si>
    <t>CRITICAL
Score 16–25
Immediate escalation to senior management and Risk Committee. DORA Art.19 notification to BaFin highly likely. Board-level visibility required. Treatment plan with weekly progress updates.</t>
  </si>
  <si>
    <t>HIGH
Score 11–15
Treatment plan mandatory. Senior management review within 48 hours. Risk owner accountable for remediation milestones. Monthly reporting to Risk Committee.</t>
  </si>
  <si>
    <t>MEDIUM
Score 6–10
Management review required. Risk owner to implement planned controls. Active monitoring via KRI dashboard. Review at next quarterly Risk Committee cycle.</t>
  </si>
  <si>
    <t>LOW
Score 1–5
Accept and monitor. Risk within board-approved tolerance. Monitor via KRI dashboard. Annual review sufficient. No immediate treatment required.</t>
  </si>
  <si>
    <t>CONTROL EFFECTIVENESS &amp; ADEQUACY SCALE  |  ISO 27001 / NIST SP 800-30 aligned  |  CE capped at 95% — residual risk always remains even with the strongest controls</t>
  </si>
  <si>
    <t>0%
NO CONTROLS
No meaningful controls.
Risk fully unmitigated.
Immediate action required.</t>
  </si>
  <si>
    <t>25%
WEAK
Controls exist but have
critical gaps; easily
bypassed or untested.</t>
  </si>
  <si>
    <t>50%
PARTIAL
Controls partially effective;
gaps identified; active
remediation in progress.</t>
  </si>
  <si>
    <t>75%
EFFECTIVE
Controls broadly effective;
some residual gaps;
monitored via KRI.</t>
  </si>
  <si>
    <t>90%
STRONG
Robust controls in place;
regularly tested; minor
residual gaps only.</t>
  </si>
  <si>
    <t>95%
OPTIMISED
Comprehensive controls;
fully tested; evidence-based
assurance. Max CE.</t>
  </si>
  <si>
    <t>KRI vs RISK TOLERANCE MONITORING SUMMARY</t>
  </si>
  <si>
    <t>CE
(%)</t>
  </si>
  <si>
    <t>Gross
Score</t>
  </si>
  <si>
    <t>Gross
Rating</t>
  </si>
  <si>
    <t>Residual
Score</t>
  </si>
  <si>
    <t>Residual
Rating</t>
  </si>
  <si>
    <t>KRI (Indicator)</t>
  </si>
  <si>
    <t>Current KRI Value</t>
  </si>
  <si>
    <t>KRI Breach Threshold</t>
  </si>
  <si>
    <t>KRI Status</t>
  </si>
  <si>
    <t>25%</t>
  </si>
  <si>
    <t>⚠ BREACH</t>
  </si>
  <si>
    <t>0%</t>
  </si>
  <si>
    <t>75%</t>
  </si>
  <si>
    <t>✔ Tolerance</t>
  </si>
  <si>
    <t>50%</t>
  </si>
  <si>
    <t>⚠ Amber</t>
  </si>
  <si>
    <t>90%</t>
  </si>
  <si>
    <t>DORA Gap Analysis — Musterbank GmbH  |  ISO 27001 Lead Auditor Review  |  DORA (EU 2022/2554) × ISO 27001:2022 × BAIT × MaRisk × NIS2  |  ✔ Met  |  ◑ Partial  |  ✘ Missing</t>
  </si>
  <si>
    <t>DORA Requirement</t>
  </si>
  <si>
    <t>ISO 27001:2022
Mapping</t>
  </si>
  <si>
    <t>BAIT / MaRisk
Ref</t>
  </si>
  <si>
    <t>Current Control at Musterbank</t>
  </si>
  <si>
    <t>Gap
Status</t>
  </si>
  <si>
    <t>Gap Description</t>
  </si>
  <si>
    <t>Remediation Action</t>
  </si>
  <si>
    <t>Priority</t>
  </si>
  <si>
    <t>Target
Date</t>
  </si>
  <si>
    <t>Owner</t>
  </si>
  <si>
    <t>ICT risk management framework</t>
  </si>
  <si>
    <t>Art. 5–6</t>
  </si>
  <si>
    <t>Cl. 6.1, 8.2</t>
  </si>
  <si>
    <t>MaRisk AT 7.2; BAIT §2</t>
  </si>
  <si>
    <t>ICT risk register in Excel; quarterly Risk Committee review</t>
  </si>
  <si>
    <t>◑ Partial</t>
  </si>
  <si>
    <t>Framework not formally documented as DORA-compliant; no board-approved ICT risk appetite statement; Art.6 three-line model not evidenced</t>
  </si>
  <si>
    <t>Formalise ICT risk management framework per Art.6; draft and obtain board approval for ICT risk appetite; document three-line model assignment</t>
  </si>
  <si>
    <t>CRO / CISO</t>
  </si>
  <si>
    <t>ICT asset classification and inventory</t>
  </si>
  <si>
    <t>Art. 8</t>
  </si>
  <si>
    <t>A.8.1, A.8.8</t>
  </si>
  <si>
    <t>BAIT §4; MaRisk AT 7.2</t>
  </si>
  <si>
    <t>CMDB in ServiceNow; patching tracked via Qualys</t>
  </si>
  <si>
    <t>CMDB not fully validated; shadow IT not captured; Register of Information (DORA Art.28 EBA ITS) not linked to CMDB; criticality ratings not DORA-aligned</t>
  </si>
  <si>
    <t>Complete CMDB audit; classify assets per DORA criticality tiers; link to Register of Information; shadow IT discovery tooling</t>
  </si>
  <si>
    <t>IT Asset Manager</t>
  </si>
  <si>
    <t>ICT security policies and controls</t>
  </si>
  <si>
    <t>A.5, A.6, A.8</t>
  </si>
  <si>
    <t>BAIT §3; MaRisk AT 7.2</t>
  </si>
  <si>
    <t>ISO 27001 ISMS policy suite in place; annual review cycle</t>
  </si>
  <si>
    <t>✔ Met</t>
  </si>
  <si>
    <t>Policies aligned to ISO 27001; DORA Art.9 requirements covered by existing ISMS; annual DORA Art.9 checklist review needed</t>
  </si>
  <si>
    <t>Annual ISMS review to include explicit DORA Art.9 checklist; evidence DORA alignment in policy headers</t>
  </si>
  <si>
    <t>ICT risk tolerance and appetite</t>
  </si>
  <si>
    <t>Art. 6(8)</t>
  </si>
  <si>
    <t>Cl. 6.1</t>
  </si>
  <si>
    <t>MaRisk AT 2.2; BAIT §2</t>
  </si>
  <si>
    <t>No board-approved ICT risk appetite or tolerance statement</t>
  </si>
  <si>
    <t>✘ Missing</t>
  </si>
  <si>
    <t>DORA Art.6(8) requires management body to set and own ICT risk tolerance; no documented appetite; risk register lacks tolerance thresholds</t>
  </si>
  <si>
    <t>Draft ICT risk appetite statement; present to Management Board for approval; cascade to risk register KRI thresholds</t>
  </si>
  <si>
    <t>CRO</t>
  </si>
  <si>
    <t>Business continuity and backup</t>
  </si>
  <si>
    <t>Art. 12</t>
  </si>
  <si>
    <t>A.17</t>
  </si>
  <si>
    <t>BAIT §7; MaRisk AT 7.3</t>
  </si>
  <si>
    <t>BCP exists; daily backups to S3; DR plan documented</t>
  </si>
  <si>
    <t>BCP/DR not tested in 18 months; RTO/RPO not validated against DORA 4h threshold; backup restoration not tested; Art.12 requires documented backup and recovery testing</t>
  </si>
  <si>
    <t>Schedule annual DR test; validate RTO ≤4h and RPO ≤1h per DORA; test backup restoration quarterly; document and report test results</t>
  </si>
  <si>
    <t>CISO / IT Ops</t>
  </si>
  <si>
    <t>ICT change management</t>
  </si>
  <si>
    <t>A.8.32</t>
  </si>
  <si>
    <t>BAIT §5</t>
  </si>
  <si>
    <t>CAB process in JIRA; change records maintained</t>
  </si>
  <si>
    <t>Rollback plans not mandatory; emergency changes bypass CAB; audit trail gaps; Art.9(4) requires all ICT changes to be managed and documented</t>
  </si>
  <si>
    <t>Mandatory rollback plan for all major and emergency changes; tighten emergency CAB; automated change audit trail; monthly trend reporting</t>
  </si>
  <si>
    <t>IT Ops Manager</t>
  </si>
  <si>
    <t>ICT capacity and performance</t>
  </si>
  <si>
    <t>Art. 9(3)</t>
  </si>
  <si>
    <t>A.8.6</t>
  </si>
  <si>
    <t>BAIT §4</t>
  </si>
  <si>
    <t>Infrastructure monitoring via Datadog; manual capacity reviews quarterly</t>
  </si>
  <si>
    <t>No formal capacity management plan; thresholds not documented; no automated alerting for capacity breaches; DORA Art.9(3) requires monitoring and capacity planning</t>
  </si>
  <si>
    <t>Formalise capacity management plan; set and automate threshold alerts; integrate with incident management; annual forecast review</t>
  </si>
  <si>
    <t>IT Infrastructure</t>
  </si>
  <si>
    <t>Data governance and data integrity</t>
  </si>
  <si>
    <t>A.8.9, A.8.10</t>
  </si>
  <si>
    <t>MaRisk BTO 1.2</t>
  </si>
  <si>
    <t>Data classification policy exists; some data quality controls in ABACUS</t>
  </si>
  <si>
    <t>No enterprise data governance framework; data lineage not documented for regulatory reporting data; integrity checks inconsistent across systems</t>
  </si>
  <si>
    <t>Implement data governance framework; document data lineage for BaFin reporting data; enforce integrity controls across critical systems</t>
  </si>
  <si>
    <t>CDO / CFO</t>
  </si>
  <si>
    <t>Incident classification and detection</t>
  </si>
  <si>
    <t>A.5.25, A.5.26</t>
  </si>
  <si>
    <t>BAIT §8; MaRisk AT 7.3</t>
  </si>
  <si>
    <t>SIEM (Splunk) deployed; incident management via JIRA</t>
  </si>
  <si>
    <t>No DORA-specific incident classification matrix; severity inconsistent across teams; Art.17 requires classification against DORA major incident criteria (clients affected, duration, data loss)</t>
  </si>
  <si>
    <t>Implement DORA classification matrix aligned to Art.17 criteria; train all first-line teams; embed in SIEM playbooks</t>
  </si>
  <si>
    <t>Major incident initial notification (4h)</t>
  </si>
  <si>
    <t>A.5.26</t>
  </si>
  <si>
    <t>BAIT §8</t>
  </si>
  <si>
    <t>Manual BaFin reporting process; escalation procedure exists</t>
  </si>
  <si>
    <t>No automated workflow for DORA 4h initial notification to BaFin; manual process consistently exceeds 4h; no integration with BaFin reporting portal</t>
  </si>
  <si>
    <t>Build automated DORA major incident reporting workflow; integrate with BaFin MIDAS portal; test notification workflow quarterly</t>
  </si>
  <si>
    <t>CRO / Compliance</t>
  </si>
  <si>
    <t>Intermediate report (72h)</t>
  </si>
  <si>
    <t>Post-incident reviews documented; no structured intermediate reporting</t>
  </si>
  <si>
    <t>No defined process for intermediate report at 72h; report templates not aligned to EBA/ESMA ITS format; intermediate trigger criteria undefined</t>
  </si>
  <si>
    <t>Adopt EBA ITS incident report templates; define 72h intermediate report trigger and mandatory content; test with tabletop exercise</t>
  </si>
  <si>
    <t>Final incident report (1 month)</t>
  </si>
  <si>
    <t>PIR process exists in JIRA; final reports not in DORA ITS format</t>
  </si>
  <si>
    <t>Final report not aligned to DORA EBA ITS template; root cause analysis not systematically documented; submission timeline not tracked</t>
  </si>
  <si>
    <t>Align PIR outputs to EBA ITS final report template; track submission deadlines; include in compliance calendar</t>
  </si>
  <si>
    <t>Root cause analysis (RCA)</t>
  </si>
  <si>
    <t>Art. 17(6)</t>
  </si>
  <si>
    <t>A.5.27</t>
  </si>
  <si>
    <t>PIR mandatory for P1/P2; lessons fed to risk register</t>
  </si>
  <si>
    <t>RCA process functional for P1/P2; not yet extended to all DORA-classifiable incidents; lessons-learned loop to risk register operational</t>
  </si>
  <si>
    <t>Extend PIR/RCA requirement to all DORA-classifiable incidents; formalise lessons-learned update to risk register</t>
  </si>
  <si>
    <t>Cyber incident cost monitoring</t>
  </si>
  <si>
    <t>Art. 11(10)</t>
  </si>
  <si>
    <t>A.5.29</t>
  </si>
  <si>
    <t>MaRisk AT 2.2</t>
  </si>
  <si>
    <t>No formal tracking of direct/indirect ICT incident costs</t>
  </si>
  <si>
    <t>DORA Art.11(10) requires financial institutions to track and report economic impact of ICT incidents; no cost-tracking mechanism in place</t>
  </si>
  <si>
    <t>Implement incident cost tracking (direct costs: recovery, fines; indirect: lost revenue, reputational); integrate with risk register</t>
  </si>
  <si>
    <t>CFO / CRO</t>
  </si>
  <si>
    <t>Basic resilience testing programme</t>
  </si>
  <si>
    <t>A.8.8</t>
  </si>
  <si>
    <t>BAIT §6</t>
  </si>
  <si>
    <t>Quarterly internal vulnerability scans; annual external pen test</t>
  </si>
  <si>
    <t>DAST not in CI/CD; no threat-intelligence-led testing scope; findings remediation not tracked formally; Art.25 requires structured annual testing programme</t>
  </si>
  <si>
    <t>Integrate DAST in CI/CD; formalise vulnerability remediation SLAs; implement threat-based testing scope; track findings to closure</t>
  </si>
  <si>
    <t>Threat-Led Penetration Testing (TLPT)</t>
  </si>
  <si>
    <t>Art. 26</t>
  </si>
  <si>
    <t>BAIT §6; TIBER-DE</t>
  </si>
  <si>
    <t>No TLPT ever conducted; no red-team provider; BaFin not notified; no TIBER-DE scope defined</t>
  </si>
  <si>
    <t>DORA Art.26 TLPT obligation applies; TLPT has never been performed; no TIBER-DE-aligned scope; BaFin not notified before commencement — consistent with R-004 ICT Risk Register (Gross 16 – Critical; CE 0%)</t>
  </si>
  <si>
    <t>Scope TLPT per TIBER-DE methodology; engage approved red-team provider; notify BaFin before commencement; target H1 2027</t>
  </si>
  <si>
    <t>2027-01-17</t>
  </si>
  <si>
    <t>BCP/DRP testing</t>
  </si>
  <si>
    <t>A.17.1</t>
  </si>
  <si>
    <t>BCP/DRP documented but untested for 18 months; 7 open remediation actions from 2024 test outstanding</t>
  </si>
  <si>
    <t>No documented test results; DORA Art.11 requires annual BCP/DRP test with documented outcomes; 7 open actions from 2024 test remain; RTO/RPO unvalidated against DORA 4-hour threshold — consistent with R-015 ICT Risk Register (Gross 25 – Critical)</t>
  </si>
  <si>
    <t>Tabletop exercise Q3-2026; full DR test T24 and ABACUS Q4-2026; close all 7 outstanding 2024 actions; submit results to Risk Committee</t>
  </si>
  <si>
    <t>Scenario-based resilience testing</t>
  </si>
  <si>
    <t>Art. 25(3)</t>
  </si>
  <si>
    <t>BAIT §7</t>
  </si>
  <si>
    <t>No scenario-based exercises conducted</t>
  </si>
  <si>
    <t>DORA Art.25(3) requires scenario-based testing beyond standard BCP; no pandemic, cyber-war, or simultaneous multi-system failure scenarios tested</t>
  </si>
  <si>
    <t>Design 3 advanced scenarios (ransomware + cloud outage; BCP during pandemic; SWIFT fraud + system failure); run annually</t>
  </si>
  <si>
    <t>Testing of critical ICT TPP dependencies</t>
  </si>
  <si>
    <t>Art. 25(4)</t>
  </si>
  <si>
    <t>A.15.1</t>
  </si>
  <si>
    <t>No testing that includes ICT TPP failure scenarios</t>
  </si>
  <si>
    <t>Resilience testing does not include failure of critical TPPs (AWS, Temenos); DORA Art.25(4) requires testing of key third-party dependencies</t>
  </si>
  <si>
    <t>Include AWS and Temenos failure scenarios in next DR test; contractually require participation; document results</t>
  </si>
  <si>
    <t>CTO / CISO</t>
  </si>
  <si>
    <t>Register of Information (ICT TPPs)</t>
  </si>
  <si>
    <t>A.5.19</t>
  </si>
  <si>
    <t>BAIT §12; MaRisk AT 9</t>
  </si>
  <si>
    <t>Vendor register in Excel; not DORA EBA ITS structured</t>
  </si>
  <si>
    <t>Register does not meet DORA Art.28 / EBA ITS RTS format; missing: function criticality mapping, concentration risk data, sub-outsourcing chains; BaFin submission format not prepared</t>
  </si>
  <si>
    <t>Rebuild register per EBA ITS RTS template; complete for all critical and significant ICT TPPs; submit draft to BaFin for review</t>
  </si>
  <si>
    <t>Contractual requirements (Art.30 clauses)</t>
  </si>
  <si>
    <t>Art. 30</t>
  </si>
  <si>
    <t>A.5.20</t>
  </si>
  <si>
    <t>BAIT §12; MaRisk AT 9.2; §25b KWG</t>
  </si>
  <si>
    <t>Standard contracts; some SLAs; Art.30 clauses partially inserted</t>
  </si>
  <si>
    <t>DORA mandatory contractual provisions (audit rights, data access, exit, SLA, DORA incident notification) not systematically in all critical TPP contracts; legacy contracts not re-papered</t>
  </si>
  <si>
    <t>Re-papering programme: Art.30 clauses in top 20 critical TPP contracts by Dec 2026; legal review of all critical vendor contracts</t>
  </si>
  <si>
    <t>General Counsel / Procurement</t>
  </si>
  <si>
    <t>Exit plans for critical ICT TPPs</t>
  </si>
  <si>
    <t>Art. 28(7)</t>
  </si>
  <si>
    <t>BAIT §12; §25b KWG Abs.3</t>
  </si>
  <si>
    <t>No exit plan for Temenos T24 or AWS; Microsoft 365 draft only; data portability untested</t>
  </si>
  <si>
    <t>DORA Art.28(7) mandates exit plans for all critical ICT TPPs; Temenos exit would take &gt;24 months; data portability never tested; no transition budget allocated — consistent with R-010 ICT Risk Register (Gross 20 – Critical; CE 25%)</t>
  </si>
  <si>
    <t>Draft exit plans for AWS, Temenos, ABACUS; test data portability (Temenos export); estimate transition costs; board review annually</t>
  </si>
  <si>
    <t>Sub-outsourcing oversight</t>
  </si>
  <si>
    <t>Art. 28(2)</t>
  </si>
  <si>
    <t>BAIT §12; MaRisk AT 9.3</t>
  </si>
  <si>
    <t>Subcontractors partially mapped; no full chain documented</t>
  </si>
  <si>
    <t>Sub-outsourcing chain not fully mapped for AWS (CDN, DNS providers), Finastra (clearing partners); DORA Art.28(2) requires full chain visibility</t>
  </si>
  <si>
    <t>Map complete sub-outsourcing chain for all critical ICT TPPs; include in Register of Information; contractual flow-down required</t>
  </si>
  <si>
    <t>Procurement / IT Architecture</t>
  </si>
  <si>
    <t>ICT TPP concentration risk</t>
  </si>
  <si>
    <t>Art. 29</t>
  </si>
  <si>
    <t>MaRisk AT 9; BAIT §12</t>
  </si>
  <si>
    <t>AWS Frankfurt hosts 70% of critical ICT services; concentration formally identified but board report not yet completed</t>
  </si>
  <si>
    <t>DORA Art.29 requires formal concentration risk assessment; 70% single-provider dependency not formally reported to board; no diversification target set — consistent with R-003 ICT Risk Register (Gross 25 – Critical; CE 25%)</t>
  </si>
  <si>
    <t>Conduct formal concentration risk assessment per Art.29 EBA guidelines; report to board; define diversification targets; include in ICT risk appetite</t>
  </si>
  <si>
    <t>CRO / CTO</t>
  </si>
  <si>
    <t>Ongoing monitoring of ICT TPPs</t>
  </si>
  <si>
    <t>Art. 28(6)</t>
  </si>
  <si>
    <t>A.5.22</t>
  </si>
  <si>
    <t>BAIT §12</t>
  </si>
  <si>
    <t>Annual vendor assessments; ad-hoc monitoring; no continuous monitoring</t>
  </si>
  <si>
    <t>DORA Art.28(6) requires ongoing monitoring of critical ICT TPPs; no real-time performance or security monitoring of TPPs; audit rights rarely exercised</t>
  </si>
  <si>
    <t>Implement continuous TPP monitoring (security ratings, SLA dashboards); exercise audit rights annually for critical TPPs; track against SLA breach thresholds</t>
  </si>
  <si>
    <t>Procurement / CISO</t>
  </si>
  <si>
    <t>Threat intelligence sharing arrangements</t>
  </si>
  <si>
    <t>A.5.7</t>
  </si>
  <si>
    <t>MaRisk AT 7.2</t>
  </si>
  <si>
    <t>No formal sharing arrangements; no ISAC membership</t>
  </si>
  <si>
    <t>DORA Art.45 requires participation in threat intelligence sharing; not a member of FS-ISAC; BaFin TIBER-DE feed recently onboarded but not yet operationalised</t>
  </si>
  <si>
    <t>Apply for FS-ISAC membership; operationalise TIBER-DE feed; designate TI analyst; integrate intel into SIEM playbooks</t>
  </si>
  <si>
    <t>Incident information sharing with peer institutions</t>
  </si>
  <si>
    <t>MaRisk AT 7.3</t>
  </si>
  <si>
    <t>Ad-hoc sharing only; no structured arrangement</t>
  </si>
  <si>
    <t>No NDA-backed bilateral sharing agreement with peer banks; occasional informal contact insufficient for DORA Art.45 compliance</t>
  </si>
  <si>
    <t>Establish ≥2 bilateral NDA-backed sharing agreements with peer German banks; define sharing scope and classification; legal review</t>
  </si>
  <si>
    <t>CISO / Legal</t>
  </si>
  <si>
    <t>Cyber threat intelligence operationalisation</t>
  </si>
  <si>
    <t>Threat intel received via TIBER-DE feed; not yet operationalised into controls</t>
  </si>
  <si>
    <t>Receiving threat intel is insufficient; DORA requires actionable use of intel; no process to translate intel into control improvements or SIEM rules</t>
  </si>
  <si>
    <t>Define TI-to-control translation process; assign TI analyst; update SIEM detection rules monthly based on intel; track TI-driven improvements</t>
  </si>
  <si>
    <t>Cross-cutting (DORA Art.30 / CIF)</t>
  </si>
  <si>
    <t>Critical or Important Function (CIF) identification</t>
  </si>
  <si>
    <t>Art. 28 / EBA ITS</t>
  </si>
  <si>
    <t>BAIT §12; MaRisk AT 9; §25b KWG</t>
  </si>
  <si>
    <t>No formal CIF mapping exercise conducted</t>
  </si>
  <si>
    <t>EBA ITS and DORA Art.28 require explicit identification of functions that are 'critical or important' (CIF); no CIF register exists; ICT services supporting CIFs not mapped to TPPs; Register of Information cannot be completed without CIF mapping</t>
  </si>
  <si>
    <t>Conduct CIF identification workshop; document CIF register with supporting ICT services and TPPs; align with Register of Information; present to board for approval</t>
  </si>
  <si>
    <t>DORA governance and management body accountability</t>
  </si>
  <si>
    <t>Art. 5</t>
  </si>
  <si>
    <t>Cl. 5.1</t>
  </si>
  <si>
    <t>MaRisk AT 1; BAIT §2</t>
  </si>
  <si>
    <t>IT risk governance exists; DORA-specific board responsibilities not defined</t>
  </si>
  <si>
    <t>DORA Art.5 places explicit accountability on the management body for ICT risk; no formal DORA-specific board mandate; management body has not been briefed on Art.5 obligations</t>
  </si>
  <si>
    <t>Brief management board on DORA Art.5 obligations; update Terms of Reference for Risk Committee; establish DORA reporting line to board</t>
  </si>
  <si>
    <t>CEO / CRO</t>
  </si>
  <si>
    <t>DORA training and ICT risk culture</t>
  </si>
  <si>
    <t>Art. 13</t>
  </si>
  <si>
    <t>A.6.3</t>
  </si>
  <si>
    <t>BAIT §2</t>
  </si>
  <si>
    <t>General security awareness training in place; no DORA-specific training</t>
  </si>
  <si>
    <t>DORA Art.13 requires all staff and management body to receive ICT risk and security training; no DORA-specific module; board has not received DORA briefing</t>
  </si>
  <si>
    <t>Develop DORA training module for all staff; separate board-level DORA briefing session; track completion; include in annual compliance training calendar</t>
  </si>
  <si>
    <t>HR / CISO</t>
  </si>
  <si>
    <t>Digital operational resilience strategy</t>
  </si>
  <si>
    <t>Art. 6(7)</t>
  </si>
  <si>
    <t>Cl. 6.1, 8.1</t>
  </si>
  <si>
    <t>IT strategy exists; not formally a DORA operational resilience strategy</t>
  </si>
  <si>
    <t>DORA Art.6(7) requires a standalone digital operational resilience strategy approved by the management body; current IT strategy does not address DORA pillars explicitly</t>
  </si>
  <si>
    <t>Develop Digital Operational Resilience Strategy document per Art.6(7); board approval; annual review; align to DORA pillars</t>
  </si>
  <si>
    <t>CTO / CRO</t>
  </si>
  <si>
    <t>NIS2 alignment (where applicable)</t>
  </si>
  <si>
    <t>NIS2 / DORA Art.1(2)</t>
  </si>
  <si>
    <t>A.5.23</t>
  </si>
  <si>
    <t>NIS2 applicability assessment not completed</t>
  </si>
  <si>
    <t>Musterbank may be classified as 'essential' or 'important' entity under NIS2; NIS2 and DORA overlap in incident reporting, supply chain risk, and board accountability; alignment not assessed</t>
  </si>
  <si>
    <t>Complete NIS2 applicability assessment; map overlap with DORA controls; avoid duplication; notify BSI if NIS2 registration required</t>
  </si>
  <si>
    <t>CRO / Legal</t>
  </si>
  <si>
    <t>KEY  |  ✔ Met = control fully satisfies DORA requirement  |  ◑ Partial = control exists but gaps remain  |  ✘ Missing = no current control — immediate remediation required  |  CIF = Critical or Important Function per DORA Art.28 / EBA ITS  |  BAIT = BaFin IT-Aufsichtsanforderungen  |  MaRisk = BaFin Mindestanforderungen an das Risikomanagement</t>
  </si>
  <si>
    <t>ICT Third-Party Risk Register — Musterbank GmbH | DORA Article 28 &amp; Register of Information</t>
  </si>
  <si>
    <t>Vendor Name</t>
  </si>
  <si>
    <t>Service Provided</t>
  </si>
  <si>
    <t>Criticality</t>
  </si>
  <si>
    <t>DORA Art.28
Classification</t>
  </si>
  <si>
    <t>Contract
Art.30 Clauses</t>
  </si>
  <si>
    <t>SLA
(Availability)</t>
  </si>
  <si>
    <t>Risk Rating</t>
  </si>
  <si>
    <t>Concentration
Risk</t>
  </si>
  <si>
    <t>Exit Plan
Status</t>
  </si>
  <si>
    <t>Last Assessment</t>
  </si>
  <si>
    <t>Next Assessment</t>
  </si>
  <si>
    <t>Key Finding</t>
  </si>
  <si>
    <t>Action Required</t>
  </si>
  <si>
    <t>AWS (Amazon Web Services)</t>
  </si>
  <si>
    <t>Cloud infrastructure (IaaS/PaaS) – 70% of ICT services</t>
  </si>
  <si>
    <t>ICT TPP – Critical</t>
  </si>
  <si>
    <t>◑ Partial – re-papering in progress</t>
  </si>
  <si>
    <t>99.99%</t>
  </si>
  <si>
    <t>HIGH – single provider &gt;60%</t>
  </si>
  <si>
    <t>2025-11-01</t>
  </si>
  <si>
    <t>2026-11-01</t>
  </si>
  <si>
    <t>Concentration risk: 70% of critical ICT services on single provider. No multi-cloud failover; no tested exit plan. Consistent with R-003 (Gross 25 – Critical; CE 25%). Art.30 clauses 60% inserted.</t>
  </si>
  <si>
    <t>Complete Art.30 clauses by Dec 2026; draft and test full exit plan; implement multi-cloud Azure EU pilot; reduce concentration to ≤55%</t>
  </si>
  <si>
    <t>Temenos (T24 Core Banking)</t>
  </si>
  <si>
    <t>Core banking platform – account management, payments</t>
  </si>
  <si>
    <t>99.9%</t>
  </si>
  <si>
    <t>HIGH – no alternative</t>
  </si>
  <si>
    <t>2025-09-01</t>
  </si>
  <si>
    <t>2026-09-01</t>
  </si>
  <si>
    <t>Forced exit timeline &gt;24 months; data portability never tested; proprietary data formats; no exit plan; no transition budget. Consistent with R-010 (Gross 20 – Critical; CE 25%).</t>
  </si>
  <si>
    <t>Draft and board-approve full exit plan; test data portability; commission transition cost estimate; include in Register of Information</t>
  </si>
  <si>
    <t>Microsoft 365</t>
  </si>
  <si>
    <t>Email, collaboration, Azure AD identity</t>
  </si>
  <si>
    <t>MEDIUM – alternatives exist</t>
  </si>
  <si>
    <t>◑ Partial – draft only</t>
  </si>
  <si>
    <t>2026-01-01</t>
  </si>
  <si>
    <t>2027-01-01</t>
  </si>
  <si>
    <t>Azure AD is central identity; outage impacts all staff; MFA enforced</t>
  </si>
  <si>
    <t>Finalise exit plan; ensure on-premise AD fallback is tested</t>
  </si>
  <si>
    <t>Finastra (Fusion Payments)</t>
  </si>
  <si>
    <t>Payment processing and SWIFT connectivity</t>
  </si>
  <si>
    <t>99.95%</t>
  </si>
  <si>
    <t>MEDIUM</t>
  </si>
  <si>
    <t>2026-02-01</t>
  </si>
  <si>
    <t>2027-02-01</t>
  </si>
  <si>
    <t>SWIFT connectivity creates systemic risk; dual-authorisation controls in place</t>
  </si>
  <si>
    <t>Insert Art.30 clauses; document sub-outsourcing chain</t>
  </si>
  <si>
    <t>Salesforce</t>
  </si>
  <si>
    <t>CRM – customer data management</t>
  </si>
  <si>
    <t>Significant</t>
  </si>
  <si>
    <t>ICT TPP – Significant</t>
  </si>
  <si>
    <t>LOW</t>
  </si>
  <si>
    <t>✔ Documented</t>
  </si>
  <si>
    <t>2026-03-01</t>
  </si>
  <si>
    <t>2027-03-01</t>
  </si>
  <si>
    <t>PII stored on US servers; DSGVO SCCs in place; data residency reviewed</t>
  </si>
  <si>
    <t>Annual review; confirm SCCs remain current post-Schrems III developments</t>
  </si>
  <si>
    <t>ABACUS (Wolters Kluwer)</t>
  </si>
  <si>
    <t>Regulatory reporting – BaFin COREP/FINREP</t>
  </si>
  <si>
    <t>99.5%</t>
  </si>
  <si>
    <t>MEDIUM – few alternatives</t>
  </si>
  <si>
    <t>2025-10-01</t>
  </si>
  <si>
    <t>2026-10-01</t>
  </si>
  <si>
    <t>Single instance; DR drill April 2026 partial pass; manual fallback process not fully validated. Consistent with R-011 (Gross 12 – High; CE 50%).</t>
  </si>
  <si>
    <t>Provision DR instance; test manual fallback; insert Art.30 clauses</t>
  </si>
  <si>
    <t>Splunk</t>
  </si>
  <si>
    <t>SIEM – security monitoring and incident detection</t>
  </si>
  <si>
    <t>2026-04-01</t>
  </si>
  <si>
    <t>2027-04-01</t>
  </si>
  <si>
    <t>Logs held in US; data residency policy under review</t>
  </si>
  <si>
    <t>Confirm log residency; evaluate EU-hosted alternative</t>
  </si>
  <si>
    <t>OneTrust</t>
  </si>
  <si>
    <t>GRC platform – policy, vendor and privacy management</t>
  </si>
  <si>
    <t>Non-critical</t>
  </si>
  <si>
    <t>ICT TPP – Non-critical</t>
  </si>
  <si>
    <t>2026-05-01</t>
  </si>
  <si>
    <t>2027-05-01</t>
  </si>
  <si>
    <t>Low risk; data limited to non-personal GRC metadata</t>
  </si>
  <si>
    <t>No immediate action; maintain annual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</si>
</sst>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1A1A2E"/>
      <name val="Arial"/>
      <charset val="1"/>
    </font>
    <font>
      <i/>
      <sz val="8"/>
      <name val="Arial"/>
      <charset val="1"/>
    </font>
    <font>
      <b/>
      <sz val="9"/>
      <color rgb="FF4B0082"/>
      <name val="Arial"/>
      <charset val="1"/>
    </font>
    <font>
      <b/>
      <sz val="9"/>
      <color rgb="FFFFFFFF"/>
      <name val="Arial"/>
      <charset val="1"/>
    </font>
    <font>
      <b/>
      <sz val="8"/>
      <color rgb="FF4B0082"/>
      <name val="Arial"/>
      <charset val="1"/>
    </font>
    <font>
      <b/>
      <sz val="9"/>
      <color rgb="FFC00000"/>
      <name val="Arial"/>
      <charset val="1"/>
    </font>
    <font>
      <b/>
      <sz val="8"/>
      <color rgb="FFC00000"/>
      <name val="Arial"/>
      <charset val="1"/>
    </font>
    <font>
      <b/>
      <sz val="9"/>
      <color rgb="FF375623"/>
      <name val="Arial"/>
      <charset val="1"/>
    </font>
    <font>
      <b/>
      <sz val="8"/>
      <color rgb="FF375623"/>
      <name val="Arial"/>
      <charset val="1"/>
    </font>
    <font>
      <b/>
      <sz val="9"/>
      <color rgb="FFB85C00"/>
      <name val="Arial"/>
      <charset val="1"/>
    </font>
    <font>
      <b/>
      <sz val="8"/>
      <color rgb="FFB85C00"/>
      <name val="Arial"/>
      <charset val="1"/>
    </font>
    <font>
      <b/>
      <sz val="8"/>
      <color rgb="FF00000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FF6600"/>
      <name val="Arial"/>
      <charset val="1"/>
    </font>
    <font>
      <b/>
      <sz val="12"/>
      <color rgb="FFFFFFFF"/>
      <name val="Arial"/>
      <charset val="1"/>
    </font>
    <font>
      <b/>
      <sz val="9"/>
      <color rgb="FF1A1A2E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2E5FA3"/>
      </patternFill>
    </fill>
    <fill>
      <patternFill patternType="solid">
        <fgColor rgb="FF4B0082"/>
        <bgColor rgb="FF800080"/>
      </patternFill>
    </fill>
    <fill>
      <patternFill patternType="solid">
        <fgColor rgb="FFC00000"/>
        <bgColor rgb="FF800000"/>
      </patternFill>
    </fill>
    <fill>
      <patternFill patternType="solid">
        <fgColor rgb="FFB85C00"/>
        <bgColor rgb="FFE74C3C"/>
      </patternFill>
    </fill>
    <fill>
      <patternFill patternType="solid">
        <fgColor rgb="FF375623"/>
        <bgColor rgb="FF1F3864"/>
      </patternFill>
    </fill>
    <fill>
      <patternFill patternType="solid">
        <fgColor rgb="FFEAF3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CCCC"/>
        <bgColor rgb="FFF0E6FF"/>
      </patternFill>
    </fill>
    <fill>
      <patternFill patternType="solid">
        <fgColor rgb="FFF0E6FF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F5F5F5"/>
      </patternFill>
    </fill>
    <fill>
      <patternFill patternType="solid">
        <fgColor rgb="FFD9B3FF"/>
        <bgColor rgb="FFBFBFBF"/>
      </patternFill>
    </fill>
    <fill>
      <patternFill patternType="solid">
        <fgColor rgb="FFFF9900"/>
        <bgColor rgb="FFF39C12"/>
      </patternFill>
    </fill>
    <fill>
      <patternFill patternType="solid">
        <fgColor rgb="FF70AD47"/>
        <bgColor rgb="FF99CC00"/>
      </patternFill>
    </fill>
    <fill>
      <patternFill patternType="solid">
        <fgColor rgb="FFF5F5F5"/>
        <bgColor rgb="FFF2F2F2"/>
      </patternFill>
    </fill>
    <fill>
      <patternFill patternType="solid">
        <fgColor rgb="FF2E5FA3"/>
        <bgColor rgb="FF2F5496"/>
      </patternFill>
    </fill>
    <fill>
      <patternFill patternType="solid">
        <fgColor rgb="FFE74C3C"/>
        <bgColor rgb="FFFF6600"/>
      </patternFill>
    </fill>
    <fill>
      <patternFill patternType="solid">
        <fgColor rgb="FFF39C12"/>
        <bgColor rgb="FFFF9900"/>
      </patternFill>
    </fill>
    <fill>
      <patternFill patternType="solid">
        <fgColor rgb="FF27AE60"/>
        <bgColor rgb="FF70AD47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0" xfId="0" applyFont="1" applyFill="1" applyBorder="1" applyAlignment="1">
      <alignment horizontal="left" vertical="center" wrapText="1"/>
    </xf>
    <xf numFmtId="0" fontId="8" fillId="13" borderId="0" xfId="0" applyFont="1" applyFill="1" applyBorder="1" applyAlignment="1">
      <alignment horizontal="center" vertical="center" wrapText="1"/>
    </xf>
    <xf numFmtId="0" fontId="0" fillId="13" borderId="0" xfId="0" applyFill="1" applyBorder="1"/>
    <xf numFmtId="0" fontId="6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9" fontId="6" fillId="17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9" fontId="6" fillId="6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9" fontId="6" fillId="18" borderId="1" xfId="0" applyNumberFormat="1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11" fillId="21" borderId="4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11" fillId="22" borderId="4" xfId="0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11" fillId="23" borderId="4" xfId="0" applyFont="1" applyFill="1" applyBorder="1" applyAlignment="1">
      <alignment horizontal="center" vertical="center" wrapText="1"/>
    </xf>
    <xf numFmtId="0" fontId="11" fillId="22" borderId="4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 wrapText="1"/>
    </xf>
    <xf numFmtId="0" fontId="11" fillId="23" borderId="4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horizontal="center" vertical="center" wrapText="1"/>
    </xf>
    <xf numFmtId="0" fontId="19" fillId="1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9" fillId="14" borderId="0" xfId="0" applyFont="1" applyFill="1" applyBorder="1" applyAlignment="1">
      <alignment horizontal="center" vertical="center" textRotation="90"/>
    </xf>
    <xf numFmtId="0" fontId="19" fillId="14" borderId="0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2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3FB"/>
      <rgbColor rgb="FF4B0082"/>
      <rgbColor rgb="FFE74C3C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5F5F5"/>
      <rgbColor rgb="FFF0E6FF"/>
      <rgbColor rgb="FFF2F2F2"/>
      <rgbColor rgb="FFD9B3FF"/>
      <rgbColor rgb="FFFFCCCC"/>
      <rgbColor rgb="FF3366FF"/>
      <rgbColor rgb="FF33CCCC"/>
      <rgbColor rgb="FF99CC00"/>
      <rgbColor rgb="FFF39C12"/>
      <rgbColor rgb="FFFF9900"/>
      <rgbColor rgb="FFFF6600"/>
      <rgbColor rgb="FF666699"/>
      <rgbColor rgb="FF70AD47"/>
      <rgbColor rgb="FF1F3864"/>
      <rgbColor rgb="FF27AE60"/>
      <rgbColor rgb="FF003300"/>
      <rgbColor rgb="FF375623"/>
      <rgbColor rgb="FFB85C00"/>
      <rgbColor rgb="FF993366"/>
      <rgbColor rgb="FF2F5496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showGridLines="0" topLeftCell="G1" zoomScaleNormal="100" workbookViewId="0">
      <selection activeCell="J16" sqref="J16"/>
    </sheetView>
  </sheetViews>
  <sheetFormatPr defaultColWidth="8.6640625" defaultRowHeight="14.4" x14ac:dyDescent="0.3"/>
  <cols>
    <col min="1" max="1" width="32" customWidth="1"/>
    <col min="2" max="8" width="70" customWidth="1"/>
    <col min="9" max="10" width="18" customWidth="1"/>
  </cols>
  <sheetData>
    <row r="1" spans="1:10" ht="7.5" customHeight="1" x14ac:dyDescent="0.3"/>
    <row r="2" spans="1:10" ht="60" customHeight="1" x14ac:dyDescent="0.3">
      <c r="A2" s="81" t="s">
        <v>0</v>
      </c>
      <c r="B2" s="81"/>
      <c r="C2" s="81"/>
      <c r="D2" s="81"/>
      <c r="E2" s="81"/>
      <c r="F2" s="81"/>
      <c r="G2" s="81"/>
      <c r="H2" s="81"/>
    </row>
    <row r="3" spans="1:10" ht="21.75" customHeight="1" x14ac:dyDescent="0.3">
      <c r="A3" s="82" t="s">
        <v>1</v>
      </c>
      <c r="B3" s="82"/>
      <c r="C3" s="82"/>
      <c r="D3" s="82"/>
      <c r="E3" s="82"/>
      <c r="F3" s="82"/>
      <c r="G3" s="82"/>
      <c r="H3" s="82"/>
      <c r="I3" s="82"/>
      <c r="J3" s="82"/>
    </row>
    <row r="4" spans="1:10" ht="21.75" customHeight="1" x14ac:dyDescent="0.3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3" t="s">
        <v>7</v>
      </c>
      <c r="G4" s="4" t="s">
        <v>8</v>
      </c>
      <c r="H4" s="5" t="s">
        <v>9</v>
      </c>
      <c r="I4" s="6" t="s">
        <v>10</v>
      </c>
      <c r="J4" s="6" t="s">
        <v>11</v>
      </c>
    </row>
    <row r="5" spans="1:10" ht="42" customHeight="1" x14ac:dyDescent="0.3">
      <c r="A5" s="7">
        <f>COUNTA('ICT Risk Register'!A3:A17)</f>
        <v>15</v>
      </c>
      <c r="B5" s="8">
        <f>COUNTIF('ICT Risk Register'!M3:M17,"Critical")</f>
        <v>7</v>
      </c>
      <c r="C5" s="9">
        <f>COUNTIF('ICT Risk Register'!M3:M17,"High")</f>
        <v>5</v>
      </c>
      <c r="D5" s="10">
        <f>COUNTIF('ICT Risk Register'!M3:M17,"Medium")</f>
        <v>2</v>
      </c>
      <c r="E5" s="11">
        <f>COUNTIF('ICT Risk Register'!M3:M17,"Low")</f>
        <v>1</v>
      </c>
      <c r="F5" s="9">
        <f>COUNTIF('ICT Risk Register'!U3:U17,"Open")</f>
        <v>8</v>
      </c>
      <c r="G5" s="10">
        <f>COUNTIF('ICT Risk Register'!U3:U17,"In Progress")</f>
        <v>6</v>
      </c>
      <c r="H5" s="11">
        <f>COUNTIF('ICT Risk Register'!U3:U17,"Mitigated")</f>
        <v>1</v>
      </c>
      <c r="I5" s="12">
        <f>ROUND(AVERAGE('ICT Risk Register'!L3:L17),1)</f>
        <v>15.1</v>
      </c>
      <c r="J5" s="12">
        <f>ROUND(AVERAGE('ICT Risk Register'!R3:R17),1)</f>
        <v>9.4</v>
      </c>
    </row>
    <row r="6" spans="1:10" ht="19.5" customHeight="1" x14ac:dyDescent="0.3">
      <c r="A6" s="79" t="s">
        <v>12</v>
      </c>
      <c r="B6" s="79"/>
      <c r="C6" s="79"/>
      <c r="D6" s="79"/>
      <c r="E6" s="79"/>
      <c r="F6" s="79"/>
      <c r="G6" s="79"/>
      <c r="H6" s="79"/>
      <c r="I6" s="79"/>
      <c r="J6" s="79"/>
    </row>
    <row r="7" spans="1:10" ht="21.75" customHeight="1" x14ac:dyDescent="0.3">
      <c r="A7" s="3" t="s">
        <v>13</v>
      </c>
      <c r="B7" s="4" t="s">
        <v>14</v>
      </c>
      <c r="C7" s="5" t="s">
        <v>15</v>
      </c>
      <c r="D7" s="3" t="s">
        <v>16</v>
      </c>
      <c r="E7" s="4" t="s">
        <v>17</v>
      </c>
      <c r="F7" s="5" t="s">
        <v>18</v>
      </c>
      <c r="G7" s="2" t="s">
        <v>19</v>
      </c>
      <c r="H7" s="3" t="s">
        <v>20</v>
      </c>
      <c r="I7" s="3" t="s">
        <v>21</v>
      </c>
      <c r="J7" s="4" t="s">
        <v>22</v>
      </c>
    </row>
    <row r="8" spans="1:10" ht="42" customHeight="1" x14ac:dyDescent="0.3">
      <c r="A8" s="9">
        <f>COUNTIF('ICT Risk Register'!Z3:Z17,"⚠ BREACH – Immediate Action")</f>
        <v>6</v>
      </c>
      <c r="B8" s="10">
        <f>COUNTIF('ICT Risk Register'!Z3:Z17,"⚠ Amber – Monitor Closely")</f>
        <v>5</v>
      </c>
      <c r="C8" s="11">
        <f>COUNTIF('ICT Risk Register'!Z3:Z17,"✔ Within Tolerance")</f>
        <v>4</v>
      </c>
      <c r="D8" s="9">
        <f>COUNTIF('DORA Gap Analysis'!G3:G40,"✘ Missing")</f>
        <v>10</v>
      </c>
      <c r="E8" s="10">
        <f>COUNTIF('DORA Gap Analysis'!G3:G40,"◑ Partial")</f>
        <v>21</v>
      </c>
      <c r="F8" s="11">
        <f>COUNTIF('DORA Gap Analysis'!G3:G40,"✔ Met")</f>
        <v>2</v>
      </c>
      <c r="G8" s="8">
        <f>COUNTIF('DORA Gap Analysis'!J3:J40,"Critical")</f>
        <v>8</v>
      </c>
      <c r="H8" s="9">
        <f>COUNTIF('Vendor Risk (Art.28)'!C2:C20,"Critical")</f>
        <v>5</v>
      </c>
      <c r="I8" s="9">
        <f>COUNTIF('Vendor Risk (Art.28)'!I2:I20,"✘ Missing")</f>
        <v>3</v>
      </c>
      <c r="J8" s="10">
        <f>COUNTIF('Vendor Risk (Art.28)'!E2:E20,"◑ Partial")</f>
        <v>4</v>
      </c>
    </row>
    <row r="9" spans="1:10" ht="19.5" customHeight="1" x14ac:dyDescent="0.3">
      <c r="A9" s="79" t="s">
        <v>23</v>
      </c>
      <c r="B9" s="79"/>
      <c r="C9" s="79"/>
      <c r="D9" s="79"/>
      <c r="E9" s="79"/>
      <c r="F9" s="79"/>
      <c r="G9" s="79"/>
      <c r="H9" s="79"/>
      <c r="I9" s="79"/>
      <c r="J9" s="79"/>
    </row>
    <row r="10" spans="1:10" ht="30" customHeight="1" x14ac:dyDescent="0.3">
      <c r="A10" s="6" t="s">
        <v>24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29</v>
      </c>
      <c r="G10" s="6" t="s">
        <v>7</v>
      </c>
      <c r="H10" s="6" t="s">
        <v>13</v>
      </c>
      <c r="I10" s="6" t="s">
        <v>30</v>
      </c>
      <c r="J10" s="6" t="s">
        <v>31</v>
      </c>
    </row>
    <row r="11" spans="1:10" ht="19.5" customHeight="1" x14ac:dyDescent="0.3">
      <c r="A11" s="13" t="s">
        <v>32</v>
      </c>
      <c r="B11" s="14">
        <f>COUNTIF('ICT Risk Register'!D3:D17,"ICT Risk Management")</f>
        <v>6</v>
      </c>
      <c r="C11" s="14">
        <f>COUNTIFS('ICT Risk Register'!D3:D17,"ICT Risk Management",'ICT Risk Register'!M3:M17,"Critical")</f>
        <v>1</v>
      </c>
      <c r="D11" s="14">
        <f>COUNTIFS('ICT Risk Register'!D3:D17,"ICT Risk Management",'ICT Risk Register'!M3:M17,"High")</f>
        <v>4</v>
      </c>
      <c r="E11" s="14">
        <f>COUNTIFS('ICT Risk Register'!D3:D17,"ICT Risk Management",'ICT Risk Register'!M3:M17,"Medium")</f>
        <v>1</v>
      </c>
      <c r="F11" s="14">
        <f>COUNTIFS('ICT Risk Register'!D3:D17,"ICT Risk Management",'ICT Risk Register'!M3:M17,"Low")</f>
        <v>0</v>
      </c>
      <c r="G11" s="14">
        <f>COUNTIFS('ICT Risk Register'!D3:D17,"ICT Risk Management",'ICT Risk Register'!U3:U17,"Open")</f>
        <v>2</v>
      </c>
      <c r="H11" s="14">
        <f>COUNTIFS('ICT Risk Register'!D3:D17,"ICT Risk Management",'ICT Risk Register'!Z3:Z17,"⚠ BREACH – Immediate Action")</f>
        <v>1</v>
      </c>
      <c r="I11" s="14">
        <f>IFERROR(ROUND(AVERAGEIF('ICT Risk Register'!D3:D17,"ICT Risk Management",'ICT Risk Register'!L3:L17),1),"—")</f>
        <v>13.8</v>
      </c>
      <c r="J11" s="14">
        <f>IFERROR(ROUND(AVERAGEIF('ICT Risk Register'!D3:D17,"ICT Risk Management",'ICT Risk Register'!R3:R17),1),"—")</f>
        <v>6</v>
      </c>
    </row>
    <row r="12" spans="1:10" ht="19.5" customHeight="1" x14ac:dyDescent="0.3">
      <c r="A12" s="15" t="s">
        <v>33</v>
      </c>
      <c r="B12" s="16">
        <f>COUNTIF('ICT Risk Register'!D3:D17,"ICT Incident Management &amp; Reporting")</f>
        <v>3</v>
      </c>
      <c r="C12" s="16">
        <f>COUNTIFS('ICT Risk Register'!D3:D17,"ICT Incident Management &amp; Reporting",'ICT Risk Register'!M3:M17,"Critical")</f>
        <v>1</v>
      </c>
      <c r="D12" s="16">
        <f>COUNTIFS('ICT Risk Register'!D3:D17,"ICT Incident Management &amp; Reporting",'ICT Risk Register'!M3:M17,"High")</f>
        <v>1</v>
      </c>
      <c r="E12" s="16">
        <f>COUNTIFS('ICT Risk Register'!D3:D17,"ICT Incident Management &amp; Reporting",'ICT Risk Register'!M3:M17,"Medium")</f>
        <v>1</v>
      </c>
      <c r="F12" s="16">
        <f>COUNTIFS('ICT Risk Register'!D3:D17,"ICT Incident Management &amp; Reporting",'ICT Risk Register'!M3:M17,"Low")</f>
        <v>0</v>
      </c>
      <c r="G12" s="16">
        <f>COUNTIFS('ICT Risk Register'!D3:D17,"ICT Incident Management &amp; Reporting",'ICT Risk Register'!U3:U17,"Open")</f>
        <v>2</v>
      </c>
      <c r="H12" s="16">
        <f>COUNTIFS('ICT Risk Register'!D3:D17,"ICT Incident Management &amp; Reporting",'ICT Risk Register'!Z3:Z17,"⚠ BREACH – Immediate Action")</f>
        <v>1</v>
      </c>
      <c r="I12" s="16">
        <f>IFERROR(ROUND(AVERAGEIF('ICT Risk Register'!D3:D17,"ICT Incident Management &amp; Reporting",'ICT Risk Register'!L3:L17),1),"—")</f>
        <v>12.3</v>
      </c>
      <c r="J12" s="16">
        <f>IFERROR(ROUND(AVERAGEIF('ICT Risk Register'!D3:D17,"ICT Incident Management &amp; Reporting",'ICT Risk Register'!R3:R17),1),"—")</f>
        <v>6.7</v>
      </c>
    </row>
    <row r="13" spans="1:10" ht="19.5" customHeight="1" x14ac:dyDescent="0.3">
      <c r="A13" s="17" t="s">
        <v>34</v>
      </c>
      <c r="B13" s="18">
        <f>COUNTIF('ICT Risk Register'!D3:D17,"Digital Operational Resilience Testing")</f>
        <v>3</v>
      </c>
      <c r="C13" s="18">
        <f>COUNTIFS('ICT Risk Register'!D3:D17,"Digital Operational Resilience Testing",'ICT Risk Register'!M3:M17,"Critical")</f>
        <v>3</v>
      </c>
      <c r="D13" s="18">
        <f>COUNTIFS('ICT Risk Register'!D3:D17,"Digital Operational Resilience Testing",'ICT Risk Register'!M3:M17,"High")</f>
        <v>0</v>
      </c>
      <c r="E13" s="18">
        <f>COUNTIFS('ICT Risk Register'!D3:D17,"Digital Operational Resilience Testing",'ICT Risk Register'!M3:M17,"Medium")</f>
        <v>0</v>
      </c>
      <c r="F13" s="18">
        <f>COUNTIFS('ICT Risk Register'!D3:D17,"Digital Operational Resilience Testing",'ICT Risk Register'!M3:M17,"Low")</f>
        <v>0</v>
      </c>
      <c r="G13" s="18">
        <f>COUNTIFS('ICT Risk Register'!D3:D17,"Digital Operational Resilience Testing",'ICT Risk Register'!U3:U17,"Open")</f>
        <v>2</v>
      </c>
      <c r="H13" s="18">
        <f>COUNTIFS('ICT Risk Register'!D3:D17,"Digital Operational Resilience Testing",'ICT Risk Register'!Z3:Z17,"⚠ BREACH – Immediate Action")</f>
        <v>2</v>
      </c>
      <c r="I13" s="18">
        <f>IFERROR(ROUND(AVERAGEIF('ICT Risk Register'!D3:D17,"Digital Operational Resilience Testing",'ICT Risk Register'!L3:L17),1),"—")</f>
        <v>19</v>
      </c>
      <c r="J13" s="18">
        <f>IFERROR(ROUND(AVERAGEIF('ICT Risk Register'!D3:D17,"Digital Operational Resilience Testing",'ICT Risk Register'!R3:R17),1),"—")</f>
        <v>16.3</v>
      </c>
    </row>
    <row r="14" spans="1:10" ht="19.5" customHeight="1" x14ac:dyDescent="0.3">
      <c r="A14" s="19" t="s">
        <v>35</v>
      </c>
      <c r="B14" s="20">
        <f>COUNTIF('ICT Risk Register'!D3:D17,"ICT Third-Party Risk Management")</f>
        <v>2</v>
      </c>
      <c r="C14" s="20">
        <f>COUNTIFS('ICT Risk Register'!D3:D17,"ICT Third-Party Risk Management",'ICT Risk Register'!M3:M17,"Critical")</f>
        <v>2</v>
      </c>
      <c r="D14" s="20">
        <f>COUNTIFS('ICT Risk Register'!D3:D17,"ICT Third-Party Risk Management",'ICT Risk Register'!M3:M17,"High")</f>
        <v>0</v>
      </c>
      <c r="E14" s="20">
        <f>COUNTIFS('ICT Risk Register'!D3:D17,"ICT Third-Party Risk Management",'ICT Risk Register'!M3:M17,"Medium")</f>
        <v>0</v>
      </c>
      <c r="F14" s="20">
        <f>COUNTIFS('ICT Risk Register'!D3:D17,"ICT Third-Party Risk Management",'ICT Risk Register'!M3:M17,"Low")</f>
        <v>0</v>
      </c>
      <c r="G14" s="20">
        <f>COUNTIFS('ICT Risk Register'!D3:D17,"ICT Third-Party Risk Management",'ICT Risk Register'!U3:U17,"Open")</f>
        <v>1</v>
      </c>
      <c r="H14" s="20">
        <f>COUNTIFS('ICT Risk Register'!D3:D17,"ICT Third-Party Risk Management",'ICT Risk Register'!Z3:Z17,"⚠ BREACH – Immediate Action")</f>
        <v>2</v>
      </c>
      <c r="I14" s="20">
        <f>IFERROR(ROUND(AVERAGEIF('ICT Risk Register'!D3:D17,"ICT Third-Party Risk Management",'ICT Risk Register'!L3:L17),1),"—")</f>
        <v>22.5</v>
      </c>
      <c r="J14" s="20">
        <f>IFERROR(ROUND(AVERAGEIF('ICT Risk Register'!D3:D17,"ICT Third-Party Risk Management",'ICT Risk Register'!R3:R17),1),"—")</f>
        <v>17</v>
      </c>
    </row>
    <row r="15" spans="1:10" ht="19.5" customHeight="1" x14ac:dyDescent="0.3">
      <c r="A15" s="21" t="s">
        <v>36</v>
      </c>
      <c r="B15" s="22">
        <f>COUNTIF('ICT Risk Register'!D3:D17,"Information Sharing")</f>
        <v>1</v>
      </c>
      <c r="C15" s="22">
        <f>COUNTIFS('ICT Risk Register'!D3:D17,"Information Sharing",'ICT Risk Register'!M3:M17,"Critical")</f>
        <v>0</v>
      </c>
      <c r="D15" s="22">
        <f>COUNTIFS('ICT Risk Register'!D3:D17,"Information Sharing",'ICT Risk Register'!M3:M17,"High")</f>
        <v>0</v>
      </c>
      <c r="E15" s="22">
        <f>COUNTIFS('ICT Risk Register'!D3:D17,"Information Sharing",'ICT Risk Register'!M3:M17,"Medium")</f>
        <v>0</v>
      </c>
      <c r="F15" s="22">
        <f>COUNTIFS('ICT Risk Register'!D3:D17,"Information Sharing",'ICT Risk Register'!M3:M17,"Low")</f>
        <v>1</v>
      </c>
      <c r="G15" s="22">
        <f>COUNTIFS('ICT Risk Register'!D3:D17,"Information Sharing",'ICT Risk Register'!U3:U17,"Open")</f>
        <v>1</v>
      </c>
      <c r="H15" s="22">
        <f>COUNTIFS('ICT Risk Register'!D3:D17,"Information Sharing",'ICT Risk Register'!Z3:Z17,"⚠ BREACH – Immediate Action")</f>
        <v>0</v>
      </c>
      <c r="I15" s="22">
        <f>IFERROR(ROUND(AVERAGEIF('ICT Risk Register'!D3:D17,"Information Sharing",'ICT Risk Register'!L3:L17),1),"—")</f>
        <v>4</v>
      </c>
      <c r="J15" s="22">
        <f>IFERROR(ROUND(AVERAGEIF('ICT Risk Register'!D3:D17,"Information Sharing",'ICT Risk Register'!R3:R17),1),"—")</f>
        <v>2</v>
      </c>
    </row>
    <row r="16" spans="1:10" ht="18" customHeight="1" x14ac:dyDescent="0.3">
      <c r="A16" s="23"/>
      <c r="B16" s="24"/>
      <c r="C16" s="24"/>
      <c r="D16" s="24"/>
      <c r="E16" s="24"/>
      <c r="F16" s="25"/>
      <c r="G16" s="25"/>
      <c r="H16" s="25"/>
      <c r="I16" s="25"/>
      <c r="J16" s="25"/>
    </row>
    <row r="17" spans="1:10" ht="19.5" customHeight="1" x14ac:dyDescent="0.3">
      <c r="A17" s="83" t="s">
        <v>37</v>
      </c>
      <c r="B17" s="83"/>
      <c r="C17" s="83"/>
      <c r="D17" s="83"/>
      <c r="E17" s="83"/>
      <c r="F17" s="83"/>
      <c r="G17" s="83"/>
      <c r="H17" s="83"/>
      <c r="I17" s="83"/>
      <c r="J17" s="83"/>
    </row>
    <row r="18" spans="1:10" ht="19.5" customHeight="1" x14ac:dyDescent="0.3">
      <c r="A18" s="79" t="s">
        <v>38</v>
      </c>
      <c r="B18" s="79"/>
      <c r="C18" s="79"/>
      <c r="D18" s="79"/>
      <c r="E18" s="79"/>
      <c r="F18" s="79"/>
      <c r="G18" s="79"/>
      <c r="H18" s="79"/>
      <c r="I18" s="79"/>
      <c r="J18" s="79"/>
    </row>
    <row r="19" spans="1:10" ht="48" customHeight="1" x14ac:dyDescent="0.3">
      <c r="A19" s="26" t="s">
        <v>39</v>
      </c>
      <c r="B19" s="78" t="s">
        <v>40</v>
      </c>
      <c r="C19" s="78"/>
      <c r="D19" s="78"/>
      <c r="E19" s="78"/>
      <c r="F19" s="78"/>
      <c r="G19" s="78"/>
      <c r="H19" s="78"/>
      <c r="I19" s="78"/>
      <c r="J19" s="78"/>
    </row>
    <row r="20" spans="1:10" ht="48" customHeight="1" x14ac:dyDescent="0.3">
      <c r="A20" s="26" t="s">
        <v>41</v>
      </c>
      <c r="B20" s="80" t="s">
        <v>42</v>
      </c>
      <c r="C20" s="80"/>
      <c r="D20" s="80"/>
      <c r="E20" s="80"/>
      <c r="F20" s="80"/>
      <c r="G20" s="80"/>
      <c r="H20" s="80"/>
      <c r="I20" s="80"/>
      <c r="J20" s="80"/>
    </row>
    <row r="21" spans="1:10" ht="48" customHeight="1" x14ac:dyDescent="0.3">
      <c r="A21" s="26" t="s">
        <v>43</v>
      </c>
      <c r="B21" s="78" t="s">
        <v>44</v>
      </c>
      <c r="C21" s="78"/>
      <c r="D21" s="78"/>
      <c r="E21" s="78"/>
      <c r="F21" s="78"/>
      <c r="G21" s="78"/>
      <c r="H21" s="78"/>
      <c r="I21" s="78"/>
      <c r="J21" s="78"/>
    </row>
    <row r="22" spans="1:10" ht="48" customHeight="1" x14ac:dyDescent="0.3">
      <c r="A22" s="26" t="s">
        <v>45</v>
      </c>
      <c r="B22" s="80" t="s">
        <v>46</v>
      </c>
      <c r="C22" s="80"/>
      <c r="D22" s="80"/>
      <c r="E22" s="80"/>
      <c r="F22" s="80"/>
      <c r="G22" s="80"/>
      <c r="H22" s="80"/>
      <c r="I22" s="80"/>
      <c r="J22" s="80"/>
    </row>
    <row r="23" spans="1:10" ht="48" customHeight="1" x14ac:dyDescent="0.3">
      <c r="A23" s="26" t="s">
        <v>47</v>
      </c>
      <c r="B23" s="78" t="s">
        <v>48</v>
      </c>
      <c r="C23" s="78"/>
      <c r="D23" s="78"/>
      <c r="E23" s="78"/>
      <c r="F23" s="78"/>
      <c r="G23" s="78"/>
      <c r="H23" s="78"/>
      <c r="I23" s="78"/>
      <c r="J23" s="78"/>
    </row>
    <row r="24" spans="1:1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1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</row>
    <row r="27" spans="1:1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1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1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1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1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</row>
    <row r="32" spans="1:1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</row>
    <row r="33" spans="1:1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</row>
    <row r="34" spans="1:1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</row>
    <row r="36" spans="1:1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</row>
    <row r="37" spans="1:1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</row>
    <row r="38" spans="1:1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</row>
    <row r="50" spans="1:1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</row>
    <row r="54" spans="1:1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spans="1:1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spans="1:1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spans="1:1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spans="1:1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spans="1:1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</row>
  </sheetData>
  <mergeCells count="11">
    <mergeCell ref="A2:H2"/>
    <mergeCell ref="A3:J3"/>
    <mergeCell ref="A6:J6"/>
    <mergeCell ref="A9:J9"/>
    <mergeCell ref="A17:J17"/>
    <mergeCell ref="B23:J23"/>
    <mergeCell ref="A18:J18"/>
    <mergeCell ref="B19:J19"/>
    <mergeCell ref="B20:J20"/>
    <mergeCell ref="B21:J21"/>
    <mergeCell ref="B22:J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zoomScaleNormal="100"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P4" sqref="P4"/>
    </sheetView>
  </sheetViews>
  <sheetFormatPr defaultColWidth="8.6640625" defaultRowHeight="14.4" x14ac:dyDescent="0.3"/>
  <cols>
    <col min="1" max="1" width="7" customWidth="1"/>
    <col min="2" max="2" width="22" customWidth="1"/>
    <col min="3" max="3" width="40" customWidth="1"/>
    <col min="4" max="4" width="22" customWidth="1"/>
    <col min="5" max="5" width="10" hidden="1" customWidth="1"/>
    <col min="6" max="6" width="16" hidden="1" customWidth="1"/>
    <col min="7" max="7" width="22" customWidth="1"/>
    <col min="8" max="8" width="20" customWidth="1"/>
    <col min="9" max="9" width="28" customWidth="1"/>
    <col min="10" max="12" width="8" customWidth="1"/>
    <col min="13" max="13" width="11" customWidth="1"/>
    <col min="14" max="14" width="26" hidden="1" customWidth="1"/>
    <col min="15" max="15" width="36" customWidth="1"/>
    <col min="16" max="16" width="18" customWidth="1"/>
    <col min="17" max="17" width="11" customWidth="1"/>
    <col min="18" max="18" width="9" customWidth="1"/>
    <col min="19" max="19" width="11" customWidth="1"/>
    <col min="20" max="20" width="26" customWidth="1"/>
    <col min="21" max="21" width="11" customWidth="1"/>
    <col min="22" max="25" width="28" customWidth="1"/>
    <col min="26" max="26" width="18" customWidth="1"/>
    <col min="27" max="27" width="13" customWidth="1"/>
    <col min="28" max="28" width="20" customWidth="1"/>
    <col min="29" max="30" width="12" hidden="1" customWidth="1"/>
    <col min="31" max="31" width="16" hidden="1" customWidth="1"/>
    <col min="32" max="33" width="8" hidden="1" customWidth="1"/>
    <col min="34" max="34" width="28" hidden="1" customWidth="1"/>
  </cols>
  <sheetData>
    <row r="1" spans="1:34" ht="30" customHeight="1" x14ac:dyDescent="0.3">
      <c r="A1" s="84" t="s">
        <v>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</row>
    <row r="2" spans="1:34" ht="54.75" customHeight="1" x14ac:dyDescent="0.3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  <c r="L2" s="6" t="s">
        <v>61</v>
      </c>
      <c r="M2" s="6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6" t="s">
        <v>67</v>
      </c>
      <c r="S2" s="6" t="s">
        <v>68</v>
      </c>
      <c r="T2" s="6" t="s">
        <v>63</v>
      </c>
      <c r="U2" s="6" t="s">
        <v>69</v>
      </c>
      <c r="V2" s="6" t="s">
        <v>70</v>
      </c>
      <c r="W2" s="6" t="s">
        <v>71</v>
      </c>
      <c r="X2" s="6" t="s">
        <v>72</v>
      </c>
      <c r="Y2" s="6" t="s">
        <v>73</v>
      </c>
      <c r="Z2" s="6" t="s">
        <v>74</v>
      </c>
      <c r="AA2" s="6" t="s">
        <v>75</v>
      </c>
      <c r="AB2" s="6" t="s">
        <v>76</v>
      </c>
      <c r="AC2" s="6" t="s">
        <v>77</v>
      </c>
      <c r="AD2" s="6" t="s">
        <v>78</v>
      </c>
      <c r="AE2" s="6" t="s">
        <v>79</v>
      </c>
      <c r="AF2" s="6" t="s">
        <v>80</v>
      </c>
      <c r="AG2" s="6" t="s">
        <v>81</v>
      </c>
      <c r="AH2" s="6" t="s">
        <v>82</v>
      </c>
    </row>
    <row r="3" spans="1:34" ht="49.5" customHeight="1" x14ac:dyDescent="0.3">
      <c r="A3" s="29" t="s">
        <v>329</v>
      </c>
      <c r="B3" s="27" t="s">
        <v>330</v>
      </c>
      <c r="C3" s="27" t="s">
        <v>331</v>
      </c>
      <c r="D3" s="29" t="s">
        <v>34</v>
      </c>
      <c r="E3" s="29" t="s">
        <v>332</v>
      </c>
      <c r="F3" s="29" t="s">
        <v>267</v>
      </c>
      <c r="G3" s="27" t="s">
        <v>333</v>
      </c>
      <c r="H3" s="27" t="s">
        <v>334</v>
      </c>
      <c r="I3" s="27" t="s">
        <v>335</v>
      </c>
      <c r="J3" s="29">
        <v>5</v>
      </c>
      <c r="K3" s="29">
        <v>5</v>
      </c>
      <c r="L3" s="30">
        <f>J3*K3</f>
        <v>25</v>
      </c>
      <c r="M3" s="31" t="s">
        <v>26</v>
      </c>
      <c r="N3" s="32" t="s">
        <v>91</v>
      </c>
      <c r="O3" s="27" t="s">
        <v>336</v>
      </c>
      <c r="P3" s="27" t="s">
        <v>93</v>
      </c>
      <c r="Q3" s="33">
        <v>0</v>
      </c>
      <c r="R3" s="30">
        <f>ROUND(L3*(1-Q3),0)</f>
        <v>25</v>
      </c>
      <c r="S3" s="31" t="s">
        <v>26</v>
      </c>
      <c r="T3" s="32" t="s">
        <v>91</v>
      </c>
      <c r="U3" s="20" t="s">
        <v>7</v>
      </c>
      <c r="V3" s="27" t="s">
        <v>337</v>
      </c>
      <c r="W3" s="27" t="s">
        <v>338</v>
      </c>
      <c r="X3" s="27" t="s">
        <v>339</v>
      </c>
      <c r="Y3" s="27" t="s">
        <v>340</v>
      </c>
      <c r="Z3" s="34" t="s">
        <v>99</v>
      </c>
      <c r="AA3" s="29" t="s">
        <v>100</v>
      </c>
      <c r="AB3" s="27" t="s">
        <v>101</v>
      </c>
      <c r="AC3" s="27" t="s">
        <v>124</v>
      </c>
      <c r="AD3" s="27" t="s">
        <v>103</v>
      </c>
      <c r="AE3" s="29" t="s">
        <v>341</v>
      </c>
      <c r="AF3" s="29" t="s">
        <v>105</v>
      </c>
      <c r="AG3" s="29" t="s">
        <v>106</v>
      </c>
      <c r="AH3" s="27" t="s">
        <v>342</v>
      </c>
    </row>
    <row r="4" spans="1:34" ht="49.5" customHeight="1" x14ac:dyDescent="0.3">
      <c r="A4" s="29" t="s">
        <v>128</v>
      </c>
      <c r="B4" s="27" t="s">
        <v>129</v>
      </c>
      <c r="C4" s="27" t="s">
        <v>130</v>
      </c>
      <c r="D4" s="29" t="s">
        <v>35</v>
      </c>
      <c r="E4" s="29" t="s">
        <v>131</v>
      </c>
      <c r="F4" s="29" t="s">
        <v>132</v>
      </c>
      <c r="G4" s="27" t="s">
        <v>133</v>
      </c>
      <c r="H4" s="27" t="s">
        <v>134</v>
      </c>
      <c r="I4" s="27" t="s">
        <v>135</v>
      </c>
      <c r="J4" s="29">
        <v>5</v>
      </c>
      <c r="K4" s="29">
        <v>5</v>
      </c>
      <c r="L4" s="30">
        <f>J4*K4</f>
        <v>25</v>
      </c>
      <c r="M4" s="31" t="s">
        <v>26</v>
      </c>
      <c r="N4" s="32" t="s">
        <v>91</v>
      </c>
      <c r="O4" s="27" t="s">
        <v>136</v>
      </c>
      <c r="P4" s="27" t="s">
        <v>137</v>
      </c>
      <c r="Q4" s="33">
        <v>0.25</v>
      </c>
      <c r="R4" s="30">
        <f>ROUND(L4*(1-Q4),0)</f>
        <v>19</v>
      </c>
      <c r="S4" s="31" t="s">
        <v>26</v>
      </c>
      <c r="T4" s="32" t="s">
        <v>91</v>
      </c>
      <c r="U4" s="16" t="s">
        <v>8</v>
      </c>
      <c r="V4" s="27" t="s">
        <v>138</v>
      </c>
      <c r="W4" s="27" t="s">
        <v>139</v>
      </c>
      <c r="X4" s="27" t="s">
        <v>140</v>
      </c>
      <c r="Y4" s="27" t="s">
        <v>141</v>
      </c>
      <c r="Z4" s="34" t="s">
        <v>99</v>
      </c>
      <c r="AA4" s="29" t="s">
        <v>100</v>
      </c>
      <c r="AB4" s="27" t="s">
        <v>142</v>
      </c>
      <c r="AC4" s="27" t="s">
        <v>102</v>
      </c>
      <c r="AD4" s="27" t="s">
        <v>103</v>
      </c>
      <c r="AE4" s="29" t="s">
        <v>143</v>
      </c>
      <c r="AF4" s="29" t="s">
        <v>105</v>
      </c>
      <c r="AG4" s="29" t="s">
        <v>144</v>
      </c>
      <c r="AH4" s="27" t="s">
        <v>145</v>
      </c>
    </row>
    <row r="5" spans="1:34" ht="49.5" customHeight="1" x14ac:dyDescent="0.3">
      <c r="A5" s="37" t="s">
        <v>146</v>
      </c>
      <c r="B5" s="28" t="s">
        <v>147</v>
      </c>
      <c r="C5" s="28" t="s">
        <v>148</v>
      </c>
      <c r="D5" s="37" t="s">
        <v>34</v>
      </c>
      <c r="E5" s="37" t="s">
        <v>149</v>
      </c>
      <c r="F5" s="37" t="s">
        <v>150</v>
      </c>
      <c r="G5" s="28" t="s">
        <v>151</v>
      </c>
      <c r="H5" s="28" t="s">
        <v>152</v>
      </c>
      <c r="I5" s="28" t="s">
        <v>153</v>
      </c>
      <c r="J5" s="37">
        <v>4</v>
      </c>
      <c r="K5" s="37">
        <v>4</v>
      </c>
      <c r="L5" s="30">
        <f>J5*K5</f>
        <v>16</v>
      </c>
      <c r="M5" s="31" t="s">
        <v>26</v>
      </c>
      <c r="N5" s="32" t="s">
        <v>91</v>
      </c>
      <c r="O5" s="28" t="s">
        <v>154</v>
      </c>
      <c r="P5" s="28" t="s">
        <v>101</v>
      </c>
      <c r="Q5" s="33">
        <v>0</v>
      </c>
      <c r="R5" s="30">
        <f>ROUND(L5*(1-Q5),0)</f>
        <v>16</v>
      </c>
      <c r="S5" s="31" t="s">
        <v>26</v>
      </c>
      <c r="T5" s="32" t="s">
        <v>91</v>
      </c>
      <c r="U5" s="20" t="s">
        <v>7</v>
      </c>
      <c r="V5" s="28" t="s">
        <v>155</v>
      </c>
      <c r="W5" s="28" t="s">
        <v>156</v>
      </c>
      <c r="X5" s="28" t="s">
        <v>157</v>
      </c>
      <c r="Y5" s="28" t="s">
        <v>158</v>
      </c>
      <c r="Z5" s="34" t="s">
        <v>99</v>
      </c>
      <c r="AA5" s="37" t="s">
        <v>100</v>
      </c>
      <c r="AB5" s="28" t="s">
        <v>101</v>
      </c>
      <c r="AC5" s="28" t="s">
        <v>103</v>
      </c>
      <c r="AD5" s="28" t="s">
        <v>159</v>
      </c>
      <c r="AE5" s="37" t="s">
        <v>160</v>
      </c>
      <c r="AF5" s="37" t="s">
        <v>126</v>
      </c>
      <c r="AG5" s="37" t="s">
        <v>126</v>
      </c>
      <c r="AH5" s="28" t="s">
        <v>161</v>
      </c>
    </row>
    <row r="6" spans="1:34" ht="49.5" customHeight="1" x14ac:dyDescent="0.3">
      <c r="A6" s="29" t="s">
        <v>83</v>
      </c>
      <c r="B6" s="27" t="s">
        <v>84</v>
      </c>
      <c r="C6" s="27" t="s">
        <v>85</v>
      </c>
      <c r="D6" s="29" t="s">
        <v>32</v>
      </c>
      <c r="E6" s="29" t="s">
        <v>86</v>
      </c>
      <c r="F6" s="29" t="s">
        <v>87</v>
      </c>
      <c r="G6" s="27" t="s">
        <v>88</v>
      </c>
      <c r="H6" s="27" t="s">
        <v>89</v>
      </c>
      <c r="I6" s="27" t="s">
        <v>90</v>
      </c>
      <c r="J6" s="29">
        <v>4</v>
      </c>
      <c r="K6" s="29">
        <v>5</v>
      </c>
      <c r="L6" s="30">
        <f>J6*K6</f>
        <v>20</v>
      </c>
      <c r="M6" s="31" t="s">
        <v>26</v>
      </c>
      <c r="N6" s="32" t="s">
        <v>91</v>
      </c>
      <c r="O6" s="27" t="s">
        <v>92</v>
      </c>
      <c r="P6" s="27" t="s">
        <v>93</v>
      </c>
      <c r="Q6" s="33">
        <v>0.25</v>
      </c>
      <c r="R6" s="34">
        <f>ROUND(L6*(1-Q6),0)</f>
        <v>15</v>
      </c>
      <c r="S6" s="35" t="s">
        <v>27</v>
      </c>
      <c r="T6" s="36" t="s">
        <v>94</v>
      </c>
      <c r="U6" s="20" t="s">
        <v>7</v>
      </c>
      <c r="V6" s="27" t="s">
        <v>95</v>
      </c>
      <c r="W6" s="27" t="s">
        <v>96</v>
      </c>
      <c r="X6" s="27" t="s">
        <v>97</v>
      </c>
      <c r="Y6" s="27" t="s">
        <v>98</v>
      </c>
      <c r="Z6" s="34" t="s">
        <v>99</v>
      </c>
      <c r="AA6" s="29" t="s">
        <v>100</v>
      </c>
      <c r="AB6" s="27" t="s">
        <v>101</v>
      </c>
      <c r="AC6" s="27" t="s">
        <v>102</v>
      </c>
      <c r="AD6" s="27" t="s">
        <v>103</v>
      </c>
      <c r="AE6" s="29" t="s">
        <v>104</v>
      </c>
      <c r="AF6" s="29" t="s">
        <v>105</v>
      </c>
      <c r="AG6" s="29" t="s">
        <v>106</v>
      </c>
      <c r="AH6" s="27" t="s">
        <v>107</v>
      </c>
    </row>
    <row r="7" spans="1:34" ht="49.5" customHeight="1" x14ac:dyDescent="0.3">
      <c r="A7" s="37" t="s">
        <v>249</v>
      </c>
      <c r="B7" s="28" t="s">
        <v>250</v>
      </c>
      <c r="C7" s="28" t="s">
        <v>251</v>
      </c>
      <c r="D7" s="37" t="s">
        <v>35</v>
      </c>
      <c r="E7" s="37" t="s">
        <v>252</v>
      </c>
      <c r="F7" s="37" t="s">
        <v>253</v>
      </c>
      <c r="G7" s="28" t="s">
        <v>88</v>
      </c>
      <c r="H7" s="28" t="s">
        <v>254</v>
      </c>
      <c r="I7" s="28" t="s">
        <v>255</v>
      </c>
      <c r="J7" s="37">
        <v>4</v>
      </c>
      <c r="K7" s="37">
        <v>5</v>
      </c>
      <c r="L7" s="30">
        <f>J7*K7</f>
        <v>20</v>
      </c>
      <c r="M7" s="31" t="s">
        <v>26</v>
      </c>
      <c r="N7" s="32" t="s">
        <v>91</v>
      </c>
      <c r="O7" s="28" t="s">
        <v>256</v>
      </c>
      <c r="P7" s="28" t="s">
        <v>137</v>
      </c>
      <c r="Q7" s="33">
        <v>0.25</v>
      </c>
      <c r="R7" s="34">
        <f>ROUND(L7*(1-Q7),0)</f>
        <v>15</v>
      </c>
      <c r="S7" s="35" t="s">
        <v>27</v>
      </c>
      <c r="T7" s="36" t="s">
        <v>94</v>
      </c>
      <c r="U7" s="20" t="s">
        <v>7</v>
      </c>
      <c r="V7" s="28" t="s">
        <v>257</v>
      </c>
      <c r="W7" s="28" t="s">
        <v>258</v>
      </c>
      <c r="X7" s="28" t="s">
        <v>259</v>
      </c>
      <c r="Y7" s="28" t="s">
        <v>260</v>
      </c>
      <c r="Z7" s="34" t="s">
        <v>99</v>
      </c>
      <c r="AA7" s="37" t="s">
        <v>100</v>
      </c>
      <c r="AB7" s="28" t="s">
        <v>142</v>
      </c>
      <c r="AC7" s="28" t="s">
        <v>103</v>
      </c>
      <c r="AD7" s="28" t="s">
        <v>159</v>
      </c>
      <c r="AE7" s="37" t="s">
        <v>261</v>
      </c>
      <c r="AF7" s="37" t="s">
        <v>126</v>
      </c>
      <c r="AG7" s="37" t="s">
        <v>126</v>
      </c>
      <c r="AH7" s="28" t="s">
        <v>262</v>
      </c>
    </row>
    <row r="8" spans="1:34" ht="49.5" customHeight="1" x14ac:dyDescent="0.3">
      <c r="A8" s="37" t="s">
        <v>108</v>
      </c>
      <c r="B8" s="28" t="s">
        <v>109</v>
      </c>
      <c r="C8" s="28" t="s">
        <v>110</v>
      </c>
      <c r="D8" s="37" t="s">
        <v>111</v>
      </c>
      <c r="E8" s="37" t="s">
        <v>112</v>
      </c>
      <c r="F8" s="37" t="s">
        <v>113</v>
      </c>
      <c r="G8" s="28" t="s">
        <v>114</v>
      </c>
      <c r="H8" s="28" t="s">
        <v>115</v>
      </c>
      <c r="I8" s="28" t="s">
        <v>116</v>
      </c>
      <c r="J8" s="37">
        <v>4</v>
      </c>
      <c r="K8" s="37">
        <v>4</v>
      </c>
      <c r="L8" s="30">
        <f>J8*K8</f>
        <v>16</v>
      </c>
      <c r="M8" s="31" t="s">
        <v>26</v>
      </c>
      <c r="N8" s="32" t="s">
        <v>91</v>
      </c>
      <c r="O8" s="28" t="s">
        <v>117</v>
      </c>
      <c r="P8" s="28" t="s">
        <v>118</v>
      </c>
      <c r="Q8" s="33">
        <v>0.25</v>
      </c>
      <c r="R8" s="34">
        <f>ROUND(L8*(1-Q8),0)</f>
        <v>12</v>
      </c>
      <c r="S8" s="35" t="s">
        <v>27</v>
      </c>
      <c r="T8" s="36" t="s">
        <v>94</v>
      </c>
      <c r="U8" s="16" t="s">
        <v>8</v>
      </c>
      <c r="V8" s="28" t="s">
        <v>119</v>
      </c>
      <c r="W8" s="28" t="s">
        <v>120</v>
      </c>
      <c r="X8" s="28" t="s">
        <v>121</v>
      </c>
      <c r="Y8" s="28" t="s">
        <v>122</v>
      </c>
      <c r="Z8" s="34" t="s">
        <v>99</v>
      </c>
      <c r="AA8" s="37" t="s">
        <v>100</v>
      </c>
      <c r="AB8" s="28" t="s">
        <v>118</v>
      </c>
      <c r="AC8" s="28" t="s">
        <v>123</v>
      </c>
      <c r="AD8" s="28" t="s">
        <v>124</v>
      </c>
      <c r="AE8" s="37" t="s">
        <v>125</v>
      </c>
      <c r="AF8" s="37" t="s">
        <v>126</v>
      </c>
      <c r="AG8" s="37" t="s">
        <v>126</v>
      </c>
      <c r="AH8" s="28" t="s">
        <v>127</v>
      </c>
    </row>
    <row r="9" spans="1:34" ht="49.5" customHeight="1" x14ac:dyDescent="0.3">
      <c r="A9" s="29" t="s">
        <v>232</v>
      </c>
      <c r="B9" s="27" t="s">
        <v>233</v>
      </c>
      <c r="C9" s="27" t="s">
        <v>234</v>
      </c>
      <c r="D9" s="29" t="s">
        <v>34</v>
      </c>
      <c r="E9" s="29" t="s">
        <v>235</v>
      </c>
      <c r="F9" s="29" t="s">
        <v>236</v>
      </c>
      <c r="G9" s="27" t="s">
        <v>237</v>
      </c>
      <c r="H9" s="27" t="s">
        <v>238</v>
      </c>
      <c r="I9" s="27" t="s">
        <v>239</v>
      </c>
      <c r="J9" s="29">
        <v>4</v>
      </c>
      <c r="K9" s="29">
        <v>4</v>
      </c>
      <c r="L9" s="30">
        <f>J9*K9</f>
        <v>16</v>
      </c>
      <c r="M9" s="31" t="s">
        <v>26</v>
      </c>
      <c r="N9" s="32" t="s">
        <v>91</v>
      </c>
      <c r="O9" s="27" t="s">
        <v>240</v>
      </c>
      <c r="P9" s="27" t="s">
        <v>241</v>
      </c>
      <c r="Q9" s="42">
        <v>0.5</v>
      </c>
      <c r="R9" s="43">
        <f>ROUND(L9*(1-Q9),0)</f>
        <v>8</v>
      </c>
      <c r="S9" s="44" t="s">
        <v>28</v>
      </c>
      <c r="T9" s="45" t="s">
        <v>192</v>
      </c>
      <c r="U9" s="16" t="s">
        <v>8</v>
      </c>
      <c r="V9" s="27" t="s">
        <v>242</v>
      </c>
      <c r="W9" s="27" t="s">
        <v>243</v>
      </c>
      <c r="X9" s="27" t="s">
        <v>244</v>
      </c>
      <c r="Y9" s="27" t="s">
        <v>245</v>
      </c>
      <c r="Z9" s="43" t="s">
        <v>197</v>
      </c>
      <c r="AA9" s="29" t="s">
        <v>100</v>
      </c>
      <c r="AB9" s="27" t="s">
        <v>246</v>
      </c>
      <c r="AC9" s="27" t="s">
        <v>102</v>
      </c>
      <c r="AD9" s="27" t="s">
        <v>103</v>
      </c>
      <c r="AE9" s="29" t="s">
        <v>247</v>
      </c>
      <c r="AF9" s="29" t="s">
        <v>126</v>
      </c>
      <c r="AG9" s="29" t="s">
        <v>126</v>
      </c>
      <c r="AH9" s="27" t="s">
        <v>248</v>
      </c>
    </row>
    <row r="10" spans="1:34" ht="49.5" customHeight="1" x14ac:dyDescent="0.3">
      <c r="A10" s="37" t="s">
        <v>183</v>
      </c>
      <c r="B10" s="28" t="s">
        <v>184</v>
      </c>
      <c r="C10" s="28" t="s">
        <v>185</v>
      </c>
      <c r="D10" s="37" t="s">
        <v>32</v>
      </c>
      <c r="E10" s="37" t="s">
        <v>86</v>
      </c>
      <c r="F10" s="37" t="s">
        <v>186</v>
      </c>
      <c r="G10" s="28" t="s">
        <v>187</v>
      </c>
      <c r="H10" s="28" t="s">
        <v>188</v>
      </c>
      <c r="I10" s="28" t="s">
        <v>189</v>
      </c>
      <c r="J10" s="37">
        <v>3</v>
      </c>
      <c r="K10" s="37">
        <v>4</v>
      </c>
      <c r="L10" s="34">
        <f>J10*K10</f>
        <v>12</v>
      </c>
      <c r="M10" s="35" t="s">
        <v>27</v>
      </c>
      <c r="N10" s="36" t="s">
        <v>94</v>
      </c>
      <c r="O10" s="28" t="s">
        <v>190</v>
      </c>
      <c r="P10" s="28" t="s">
        <v>191</v>
      </c>
      <c r="Q10" s="42">
        <v>0.5</v>
      </c>
      <c r="R10" s="43">
        <f>ROUND(L10*(1-Q10),0)</f>
        <v>6</v>
      </c>
      <c r="S10" s="44" t="s">
        <v>28</v>
      </c>
      <c r="T10" s="45" t="s">
        <v>192</v>
      </c>
      <c r="U10" s="20" t="s">
        <v>7</v>
      </c>
      <c r="V10" s="28" t="s">
        <v>193</v>
      </c>
      <c r="W10" s="28" t="s">
        <v>194</v>
      </c>
      <c r="X10" s="28" t="s">
        <v>195</v>
      </c>
      <c r="Y10" s="28" t="s">
        <v>196</v>
      </c>
      <c r="Z10" s="43" t="s">
        <v>197</v>
      </c>
      <c r="AA10" s="37" t="s">
        <v>100</v>
      </c>
      <c r="AB10" s="28" t="s">
        <v>101</v>
      </c>
      <c r="AC10" s="28" t="s">
        <v>102</v>
      </c>
      <c r="AD10" s="28" t="s">
        <v>103</v>
      </c>
      <c r="AE10" s="37" t="s">
        <v>198</v>
      </c>
      <c r="AF10" s="37" t="s">
        <v>126</v>
      </c>
      <c r="AG10" s="37" t="s">
        <v>126</v>
      </c>
      <c r="AH10" s="28" t="s">
        <v>199</v>
      </c>
    </row>
    <row r="11" spans="1:34" ht="49.5" customHeight="1" x14ac:dyDescent="0.3">
      <c r="A11" s="29" t="s">
        <v>263</v>
      </c>
      <c r="B11" s="27" t="s">
        <v>264</v>
      </c>
      <c r="C11" s="27" t="s">
        <v>265</v>
      </c>
      <c r="D11" s="29" t="s">
        <v>111</v>
      </c>
      <c r="E11" s="29" t="s">
        <v>266</v>
      </c>
      <c r="F11" s="29" t="s">
        <v>267</v>
      </c>
      <c r="G11" s="27" t="s">
        <v>268</v>
      </c>
      <c r="H11" s="27" t="s">
        <v>269</v>
      </c>
      <c r="I11" s="27" t="s">
        <v>270</v>
      </c>
      <c r="J11" s="29">
        <v>3</v>
      </c>
      <c r="K11" s="29">
        <v>4</v>
      </c>
      <c r="L11" s="34">
        <f>J11*K11</f>
        <v>12</v>
      </c>
      <c r="M11" s="35" t="s">
        <v>27</v>
      </c>
      <c r="N11" s="36" t="s">
        <v>94</v>
      </c>
      <c r="O11" s="27" t="s">
        <v>271</v>
      </c>
      <c r="P11" s="27" t="s">
        <v>272</v>
      </c>
      <c r="Q11" s="42">
        <v>0.5</v>
      </c>
      <c r="R11" s="43">
        <f>ROUND(L11*(1-Q11),0)</f>
        <v>6</v>
      </c>
      <c r="S11" s="44" t="s">
        <v>28</v>
      </c>
      <c r="T11" s="45" t="s">
        <v>192</v>
      </c>
      <c r="U11" s="20" t="s">
        <v>7</v>
      </c>
      <c r="V11" s="27" t="s">
        <v>273</v>
      </c>
      <c r="W11" s="27" t="s">
        <v>274</v>
      </c>
      <c r="X11" s="27" t="s">
        <v>275</v>
      </c>
      <c r="Y11" s="27" t="s">
        <v>276</v>
      </c>
      <c r="Z11" s="43" t="s">
        <v>197</v>
      </c>
      <c r="AA11" s="29" t="s">
        <v>100</v>
      </c>
      <c r="AB11" s="27" t="s">
        <v>277</v>
      </c>
      <c r="AC11" s="27" t="s">
        <v>124</v>
      </c>
      <c r="AD11" s="27" t="s">
        <v>278</v>
      </c>
      <c r="AE11" s="29" t="s">
        <v>279</v>
      </c>
      <c r="AF11" s="29" t="s">
        <v>105</v>
      </c>
      <c r="AG11" s="29" t="s">
        <v>106</v>
      </c>
      <c r="AH11" s="27" t="s">
        <v>280</v>
      </c>
    </row>
    <row r="12" spans="1:34" ht="49.5" customHeight="1" x14ac:dyDescent="0.3">
      <c r="A12" s="29" t="s">
        <v>298</v>
      </c>
      <c r="B12" s="27" t="s">
        <v>299</v>
      </c>
      <c r="C12" s="27" t="s">
        <v>300</v>
      </c>
      <c r="D12" s="29" t="s">
        <v>32</v>
      </c>
      <c r="E12" s="29" t="s">
        <v>301</v>
      </c>
      <c r="F12" s="29" t="s">
        <v>302</v>
      </c>
      <c r="G12" s="27" t="s">
        <v>303</v>
      </c>
      <c r="H12" s="27" t="s">
        <v>304</v>
      </c>
      <c r="I12" s="27" t="s">
        <v>305</v>
      </c>
      <c r="J12" s="29">
        <v>3</v>
      </c>
      <c r="K12" s="29">
        <v>4</v>
      </c>
      <c r="L12" s="34">
        <f>J12*K12</f>
        <v>12</v>
      </c>
      <c r="M12" s="35" t="s">
        <v>27</v>
      </c>
      <c r="N12" s="36" t="s">
        <v>94</v>
      </c>
      <c r="O12" s="27" t="s">
        <v>306</v>
      </c>
      <c r="P12" s="27" t="s">
        <v>307</v>
      </c>
      <c r="Q12" s="42">
        <v>0.5</v>
      </c>
      <c r="R12" s="43">
        <f>ROUND(L12*(1-Q12),0)</f>
        <v>6</v>
      </c>
      <c r="S12" s="44" t="s">
        <v>28</v>
      </c>
      <c r="T12" s="45" t="s">
        <v>192</v>
      </c>
      <c r="U12" s="16" t="s">
        <v>8</v>
      </c>
      <c r="V12" s="27" t="s">
        <v>308</v>
      </c>
      <c r="W12" s="27" t="s">
        <v>309</v>
      </c>
      <c r="X12" s="27" t="s">
        <v>310</v>
      </c>
      <c r="Y12" s="27" t="s">
        <v>311</v>
      </c>
      <c r="Z12" s="43" t="s">
        <v>197</v>
      </c>
      <c r="AA12" s="29" t="s">
        <v>100</v>
      </c>
      <c r="AB12" s="27" t="s">
        <v>307</v>
      </c>
      <c r="AC12" s="27" t="s">
        <v>179</v>
      </c>
      <c r="AD12" s="27" t="s">
        <v>180</v>
      </c>
      <c r="AE12" s="29" t="s">
        <v>312</v>
      </c>
      <c r="AF12" s="29" t="s">
        <v>105</v>
      </c>
      <c r="AG12" s="29" t="s">
        <v>106</v>
      </c>
      <c r="AH12" s="27" t="s">
        <v>313</v>
      </c>
    </row>
    <row r="13" spans="1:34" ht="49.5" customHeight="1" x14ac:dyDescent="0.3">
      <c r="A13" s="29" t="s">
        <v>162</v>
      </c>
      <c r="B13" s="27" t="s">
        <v>163</v>
      </c>
      <c r="C13" s="27" t="s">
        <v>164</v>
      </c>
      <c r="D13" s="29" t="s">
        <v>32</v>
      </c>
      <c r="E13" s="29" t="s">
        <v>165</v>
      </c>
      <c r="F13" s="29" t="s">
        <v>166</v>
      </c>
      <c r="G13" s="27" t="s">
        <v>167</v>
      </c>
      <c r="H13" s="27" t="s">
        <v>168</v>
      </c>
      <c r="I13" s="27" t="s">
        <v>169</v>
      </c>
      <c r="J13" s="29">
        <v>3</v>
      </c>
      <c r="K13" s="29">
        <v>5</v>
      </c>
      <c r="L13" s="34">
        <f>J13*K13</f>
        <v>15</v>
      </c>
      <c r="M13" s="35" t="s">
        <v>27</v>
      </c>
      <c r="N13" s="36" t="s">
        <v>94</v>
      </c>
      <c r="O13" s="27" t="s">
        <v>170</v>
      </c>
      <c r="P13" s="27" t="s">
        <v>171</v>
      </c>
      <c r="Q13" s="38">
        <v>0.75</v>
      </c>
      <c r="R13" s="39">
        <f>ROUND(L13*(1-Q13),0)</f>
        <v>4</v>
      </c>
      <c r="S13" s="40" t="s">
        <v>29</v>
      </c>
      <c r="T13" s="41" t="s">
        <v>172</v>
      </c>
      <c r="U13" s="16" t="s">
        <v>8</v>
      </c>
      <c r="V13" s="27" t="s">
        <v>173</v>
      </c>
      <c r="W13" s="27" t="s">
        <v>174</v>
      </c>
      <c r="X13" s="27" t="s">
        <v>175</v>
      </c>
      <c r="Y13" s="27" t="s">
        <v>176</v>
      </c>
      <c r="Z13" s="39" t="s">
        <v>177</v>
      </c>
      <c r="AA13" s="29" t="s">
        <v>100</v>
      </c>
      <c r="AB13" s="27" t="s">
        <v>178</v>
      </c>
      <c r="AC13" s="27" t="s">
        <v>179</v>
      </c>
      <c r="AD13" s="27" t="s">
        <v>180</v>
      </c>
      <c r="AE13" s="29" t="s">
        <v>181</v>
      </c>
      <c r="AF13" s="29" t="s">
        <v>126</v>
      </c>
      <c r="AG13" s="29" t="s">
        <v>126</v>
      </c>
      <c r="AH13" s="27" t="s">
        <v>182</v>
      </c>
    </row>
    <row r="14" spans="1:34" ht="49.5" customHeight="1" x14ac:dyDescent="0.3">
      <c r="A14" s="37" t="s">
        <v>217</v>
      </c>
      <c r="B14" s="28" t="s">
        <v>218</v>
      </c>
      <c r="C14" s="28" t="s">
        <v>219</v>
      </c>
      <c r="D14" s="37" t="s">
        <v>32</v>
      </c>
      <c r="E14" s="37" t="s">
        <v>165</v>
      </c>
      <c r="F14" s="37" t="s">
        <v>220</v>
      </c>
      <c r="G14" s="28" t="s">
        <v>221</v>
      </c>
      <c r="H14" s="28" t="s">
        <v>222</v>
      </c>
      <c r="I14" s="28" t="s">
        <v>223</v>
      </c>
      <c r="J14" s="37">
        <v>3</v>
      </c>
      <c r="K14" s="37">
        <v>5</v>
      </c>
      <c r="L14" s="34">
        <f>J14*K14</f>
        <v>15</v>
      </c>
      <c r="M14" s="35" t="s">
        <v>27</v>
      </c>
      <c r="N14" s="36" t="s">
        <v>94</v>
      </c>
      <c r="O14" s="28" t="s">
        <v>224</v>
      </c>
      <c r="P14" s="28" t="s">
        <v>225</v>
      </c>
      <c r="Q14" s="38">
        <v>0.75</v>
      </c>
      <c r="R14" s="39">
        <f>ROUND(L14*(1-Q14),0)</f>
        <v>4</v>
      </c>
      <c r="S14" s="40" t="s">
        <v>29</v>
      </c>
      <c r="T14" s="41" t="s">
        <v>172</v>
      </c>
      <c r="U14" s="16" t="s">
        <v>8</v>
      </c>
      <c r="V14" s="28" t="s">
        <v>226</v>
      </c>
      <c r="W14" s="28" t="s">
        <v>227</v>
      </c>
      <c r="X14" s="28" t="s">
        <v>228</v>
      </c>
      <c r="Y14" s="28" t="s">
        <v>229</v>
      </c>
      <c r="Z14" s="39" t="s">
        <v>177</v>
      </c>
      <c r="AA14" s="37" t="s">
        <v>100</v>
      </c>
      <c r="AB14" s="28" t="s">
        <v>225</v>
      </c>
      <c r="AC14" s="28" t="s">
        <v>179</v>
      </c>
      <c r="AD14" s="28" t="s">
        <v>180</v>
      </c>
      <c r="AE14" s="37" t="s">
        <v>230</v>
      </c>
      <c r="AF14" s="37" t="s">
        <v>126</v>
      </c>
      <c r="AG14" s="37" t="s">
        <v>126</v>
      </c>
      <c r="AH14" s="28" t="s">
        <v>231</v>
      </c>
    </row>
    <row r="15" spans="1:34" ht="49.5" customHeight="1" x14ac:dyDescent="0.3">
      <c r="A15" s="29" t="s">
        <v>200</v>
      </c>
      <c r="B15" s="27" t="s">
        <v>201</v>
      </c>
      <c r="C15" s="27" t="s">
        <v>202</v>
      </c>
      <c r="D15" s="29" t="s">
        <v>111</v>
      </c>
      <c r="E15" s="29" t="s">
        <v>203</v>
      </c>
      <c r="F15" s="29" t="s">
        <v>204</v>
      </c>
      <c r="G15" s="27" t="s">
        <v>205</v>
      </c>
      <c r="H15" s="27" t="s">
        <v>206</v>
      </c>
      <c r="I15" s="27" t="s">
        <v>207</v>
      </c>
      <c r="J15" s="29">
        <v>3</v>
      </c>
      <c r="K15" s="29">
        <v>3</v>
      </c>
      <c r="L15" s="43">
        <f>J15*K15</f>
        <v>9</v>
      </c>
      <c r="M15" s="44" t="s">
        <v>28</v>
      </c>
      <c r="N15" s="45" t="s">
        <v>192</v>
      </c>
      <c r="O15" s="27" t="s">
        <v>208</v>
      </c>
      <c r="P15" s="27" t="s">
        <v>209</v>
      </c>
      <c r="Q15" s="38">
        <v>0.75</v>
      </c>
      <c r="R15" s="39">
        <f>ROUND(L15*(1-Q15),0)</f>
        <v>2</v>
      </c>
      <c r="S15" s="40" t="s">
        <v>29</v>
      </c>
      <c r="T15" s="41" t="s">
        <v>172</v>
      </c>
      <c r="U15" s="20" t="s">
        <v>7</v>
      </c>
      <c r="V15" s="27" t="s">
        <v>210</v>
      </c>
      <c r="W15" s="27" t="s">
        <v>211</v>
      </c>
      <c r="X15" s="27" t="s">
        <v>212</v>
      </c>
      <c r="Y15" s="27" t="s">
        <v>213</v>
      </c>
      <c r="Z15" s="39" t="s">
        <v>177</v>
      </c>
      <c r="AA15" s="29" t="s">
        <v>100</v>
      </c>
      <c r="AB15" s="27" t="s">
        <v>209</v>
      </c>
      <c r="AC15" s="27" t="s">
        <v>179</v>
      </c>
      <c r="AD15" s="27" t="s">
        <v>180</v>
      </c>
      <c r="AE15" s="29" t="s">
        <v>214</v>
      </c>
      <c r="AF15" s="29" t="s">
        <v>144</v>
      </c>
      <c r="AG15" s="29" t="s">
        <v>215</v>
      </c>
      <c r="AH15" s="27" t="s">
        <v>216</v>
      </c>
    </row>
    <row r="16" spans="1:34" ht="49.5" customHeight="1" x14ac:dyDescent="0.3">
      <c r="A16" s="37" t="s">
        <v>314</v>
      </c>
      <c r="B16" s="28" t="s">
        <v>315</v>
      </c>
      <c r="C16" s="28" t="s">
        <v>316</v>
      </c>
      <c r="D16" s="37" t="s">
        <v>36</v>
      </c>
      <c r="E16" s="37" t="s">
        <v>317</v>
      </c>
      <c r="F16" s="37" t="s">
        <v>318</v>
      </c>
      <c r="G16" s="28" t="s">
        <v>319</v>
      </c>
      <c r="H16" s="28" t="s">
        <v>320</v>
      </c>
      <c r="I16" s="28" t="s">
        <v>321</v>
      </c>
      <c r="J16" s="37">
        <v>2</v>
      </c>
      <c r="K16" s="37">
        <v>2</v>
      </c>
      <c r="L16" s="39">
        <f>J16*K16</f>
        <v>4</v>
      </c>
      <c r="M16" s="40" t="s">
        <v>29</v>
      </c>
      <c r="N16" s="41" t="s">
        <v>172</v>
      </c>
      <c r="O16" s="28" t="s">
        <v>322</v>
      </c>
      <c r="P16" s="28" t="s">
        <v>323</v>
      </c>
      <c r="Q16" s="42">
        <v>0.5</v>
      </c>
      <c r="R16" s="39">
        <f>ROUND(L16*(1-Q16),0)</f>
        <v>2</v>
      </c>
      <c r="S16" s="40" t="s">
        <v>29</v>
      </c>
      <c r="T16" s="41" t="s">
        <v>172</v>
      </c>
      <c r="U16" s="20" t="s">
        <v>7</v>
      </c>
      <c r="V16" s="28" t="s">
        <v>324</v>
      </c>
      <c r="W16" s="28" t="s">
        <v>325</v>
      </c>
      <c r="X16" s="28" t="s">
        <v>326</v>
      </c>
      <c r="Y16" s="28" t="s">
        <v>327</v>
      </c>
      <c r="Z16" s="43" t="s">
        <v>197</v>
      </c>
      <c r="AA16" s="37" t="s">
        <v>100</v>
      </c>
      <c r="AB16" s="28" t="s">
        <v>101</v>
      </c>
      <c r="AC16" s="28" t="s">
        <v>103</v>
      </c>
      <c r="AD16" s="28" t="s">
        <v>295</v>
      </c>
      <c r="AE16" s="37" t="s">
        <v>328</v>
      </c>
      <c r="AF16" s="37" t="s">
        <v>126</v>
      </c>
      <c r="AG16" s="37" t="s">
        <v>126</v>
      </c>
      <c r="AH16" s="28" t="s">
        <v>126</v>
      </c>
    </row>
    <row r="17" spans="1:34" ht="49.5" customHeight="1" x14ac:dyDescent="0.3">
      <c r="A17" s="37" t="s">
        <v>281</v>
      </c>
      <c r="B17" s="28" t="s">
        <v>282</v>
      </c>
      <c r="C17" s="28" t="s">
        <v>283</v>
      </c>
      <c r="D17" s="37" t="s">
        <v>32</v>
      </c>
      <c r="E17" s="37" t="s">
        <v>165</v>
      </c>
      <c r="F17" s="37" t="s">
        <v>284</v>
      </c>
      <c r="G17" s="28" t="s">
        <v>285</v>
      </c>
      <c r="H17" s="28" t="s">
        <v>286</v>
      </c>
      <c r="I17" s="28" t="s">
        <v>287</v>
      </c>
      <c r="J17" s="37">
        <v>3</v>
      </c>
      <c r="K17" s="37">
        <v>3</v>
      </c>
      <c r="L17" s="43">
        <f>J17*K17</f>
        <v>9</v>
      </c>
      <c r="M17" s="44" t="s">
        <v>28</v>
      </c>
      <c r="N17" s="45" t="s">
        <v>192</v>
      </c>
      <c r="O17" s="28" t="s">
        <v>288</v>
      </c>
      <c r="P17" s="28" t="s">
        <v>289</v>
      </c>
      <c r="Q17" s="46">
        <v>0.9</v>
      </c>
      <c r="R17" s="39">
        <f>ROUND(L17*(1-Q17),0)</f>
        <v>1</v>
      </c>
      <c r="S17" s="40" t="s">
        <v>29</v>
      </c>
      <c r="T17" s="41" t="s">
        <v>172</v>
      </c>
      <c r="U17" s="18" t="s">
        <v>9</v>
      </c>
      <c r="V17" s="28" t="s">
        <v>290</v>
      </c>
      <c r="W17" s="28" t="s">
        <v>291</v>
      </c>
      <c r="X17" s="28" t="s">
        <v>292</v>
      </c>
      <c r="Y17" s="28" t="s">
        <v>293</v>
      </c>
      <c r="Z17" s="39" t="s">
        <v>177</v>
      </c>
      <c r="AA17" s="37" t="s">
        <v>294</v>
      </c>
      <c r="AB17" s="28" t="s">
        <v>101</v>
      </c>
      <c r="AC17" s="28" t="s">
        <v>103</v>
      </c>
      <c r="AD17" s="28" t="s">
        <v>295</v>
      </c>
      <c r="AE17" s="37" t="s">
        <v>296</v>
      </c>
      <c r="AF17" s="37" t="s">
        <v>126</v>
      </c>
      <c r="AG17" s="37" t="s">
        <v>126</v>
      </c>
      <c r="AH17" s="28" t="s">
        <v>297</v>
      </c>
    </row>
    <row r="19" spans="1:34" ht="19.5" customHeight="1" x14ac:dyDescent="0.3">
      <c r="A19" s="83" t="s">
        <v>343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</row>
  </sheetData>
  <sortState ref="A3:AH17">
    <sortCondition descending="1" ref="R3:R17"/>
  </sortState>
  <mergeCells count="2">
    <mergeCell ref="A1:AF1"/>
    <mergeCell ref="A19:A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zoomScaleNormal="100" workbookViewId="0">
      <pane ySplit="2" topLeftCell="A27" activePane="bottomLeft" state="frozen"/>
      <selection pane="bottomLeft" activeCell="E59" sqref="E59"/>
    </sheetView>
  </sheetViews>
  <sheetFormatPr defaultColWidth="8.6640625" defaultRowHeight="14.4" x14ac:dyDescent="0.3"/>
  <cols>
    <col min="1" max="20" width="13" customWidth="1"/>
  </cols>
  <sheetData>
    <row r="1" spans="1:20" ht="27.75" customHeight="1" x14ac:dyDescent="0.3">
      <c r="A1" s="101" t="s">
        <v>344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9.5" customHeight="1" x14ac:dyDescent="0.3">
      <c r="A2" s="95" t="s">
        <v>345</v>
      </c>
      <c r="B2" s="95"/>
      <c r="C2" s="95"/>
      <c r="D2" s="95"/>
      <c r="E2" s="95"/>
      <c r="F2" s="95"/>
      <c r="G2" s="95"/>
      <c r="H2" s="95"/>
      <c r="J2" s="95" t="s">
        <v>346</v>
      </c>
      <c r="K2" s="95"/>
      <c r="L2" s="95"/>
      <c r="M2" s="95"/>
      <c r="N2" s="95"/>
      <c r="O2" s="95"/>
      <c r="P2" s="95"/>
      <c r="Q2" s="95"/>
    </row>
    <row r="3" spans="1:20" ht="51.75" customHeight="1" x14ac:dyDescent="0.3">
      <c r="A3" s="102" t="s">
        <v>347</v>
      </c>
      <c r="B3" s="47" t="s">
        <v>348</v>
      </c>
      <c r="C3" s="48"/>
      <c r="D3" s="49"/>
      <c r="E3" s="3" t="s">
        <v>349</v>
      </c>
      <c r="F3" s="2" t="s">
        <v>350</v>
      </c>
      <c r="G3" s="2" t="s">
        <v>351</v>
      </c>
      <c r="J3" s="102" t="s">
        <v>347</v>
      </c>
      <c r="K3" s="47" t="s">
        <v>348</v>
      </c>
      <c r="L3" s="48"/>
      <c r="M3" s="49"/>
      <c r="N3" s="50"/>
      <c r="O3" s="51"/>
      <c r="P3" s="2" t="s">
        <v>329</v>
      </c>
    </row>
    <row r="4" spans="1:20" ht="51.75" customHeight="1" x14ac:dyDescent="0.3">
      <c r="A4" s="102"/>
      <c r="B4" s="47" t="s">
        <v>352</v>
      </c>
      <c r="C4" s="48"/>
      <c r="D4" s="49"/>
      <c r="E4" s="3" t="s">
        <v>353</v>
      </c>
      <c r="F4" s="2" t="s">
        <v>354</v>
      </c>
      <c r="G4" s="51"/>
      <c r="J4" s="102"/>
      <c r="K4" s="47" t="s">
        <v>352</v>
      </c>
      <c r="L4" s="48"/>
      <c r="M4" s="49"/>
      <c r="N4" s="3" t="s">
        <v>350</v>
      </c>
      <c r="O4" s="2" t="s">
        <v>355</v>
      </c>
      <c r="P4" s="51"/>
    </row>
    <row r="5" spans="1:20" ht="51.75" customHeight="1" x14ac:dyDescent="0.3">
      <c r="A5" s="102"/>
      <c r="B5" s="47" t="s">
        <v>356</v>
      </c>
      <c r="C5" s="48"/>
      <c r="D5" s="49"/>
      <c r="E5" s="52" t="s">
        <v>357</v>
      </c>
      <c r="F5" s="50"/>
      <c r="G5" s="50"/>
      <c r="J5" s="102"/>
      <c r="K5" s="47" t="s">
        <v>356</v>
      </c>
      <c r="L5" s="48"/>
      <c r="M5" s="52" t="s">
        <v>353</v>
      </c>
      <c r="N5" s="52" t="s">
        <v>358</v>
      </c>
      <c r="O5" s="50"/>
      <c r="P5" s="50"/>
    </row>
    <row r="6" spans="1:20" ht="51.75" customHeight="1" x14ac:dyDescent="0.3">
      <c r="A6" s="102"/>
      <c r="B6" s="47" t="s">
        <v>359</v>
      </c>
      <c r="C6" s="48"/>
      <c r="D6" s="5" t="s">
        <v>314</v>
      </c>
      <c r="E6" s="49"/>
      <c r="F6" s="49"/>
      <c r="G6" s="49"/>
      <c r="J6" s="102"/>
      <c r="K6" s="47" t="s">
        <v>359</v>
      </c>
      <c r="L6" s="48"/>
      <c r="M6" s="5" t="s">
        <v>360</v>
      </c>
      <c r="N6" s="49"/>
      <c r="O6" s="49"/>
      <c r="P6" s="49"/>
    </row>
    <row r="7" spans="1:20" ht="51.75" customHeight="1" x14ac:dyDescent="0.3">
      <c r="A7" s="102"/>
      <c r="B7" s="47" t="s">
        <v>361</v>
      </c>
      <c r="C7" s="48"/>
      <c r="D7" s="48"/>
      <c r="E7" s="48"/>
      <c r="F7" s="48"/>
      <c r="G7" s="48"/>
      <c r="J7" s="102"/>
      <c r="K7" s="47" t="s">
        <v>361</v>
      </c>
      <c r="L7" s="5" t="s">
        <v>362</v>
      </c>
      <c r="M7" s="48"/>
      <c r="N7" s="48"/>
      <c r="O7" s="48"/>
      <c r="P7" s="48"/>
    </row>
    <row r="8" spans="1:20" x14ac:dyDescent="0.3">
      <c r="A8" s="102"/>
      <c r="J8" s="102"/>
    </row>
    <row r="9" spans="1:20" ht="15.75" customHeight="1" x14ac:dyDescent="0.3">
      <c r="C9" s="47" t="s">
        <v>361</v>
      </c>
      <c r="D9" s="47" t="s">
        <v>359</v>
      </c>
      <c r="E9" s="47" t="s">
        <v>356</v>
      </c>
      <c r="F9" s="47" t="s">
        <v>352</v>
      </c>
      <c r="G9" s="47" t="s">
        <v>348</v>
      </c>
      <c r="L9" s="47" t="s">
        <v>361</v>
      </c>
      <c r="M9" s="47" t="s">
        <v>359</v>
      </c>
      <c r="N9" s="47" t="s">
        <v>356</v>
      </c>
      <c r="O9" s="47" t="s">
        <v>352</v>
      </c>
      <c r="P9" s="47" t="s">
        <v>348</v>
      </c>
    </row>
    <row r="10" spans="1:20" ht="15.75" customHeight="1" x14ac:dyDescent="0.3">
      <c r="B10" s="103" t="s">
        <v>363</v>
      </c>
      <c r="C10" s="103"/>
      <c r="D10" s="103"/>
      <c r="E10" s="103"/>
      <c r="F10" s="103"/>
      <c r="G10" s="103"/>
      <c r="K10" s="103" t="s">
        <v>363</v>
      </c>
      <c r="L10" s="103"/>
      <c r="M10" s="103"/>
      <c r="N10" s="103"/>
      <c r="O10" s="103"/>
      <c r="P10" s="103"/>
    </row>
    <row r="13" spans="1:20" ht="19.5" customHeight="1" x14ac:dyDescent="0.3">
      <c r="A13" s="79" t="s">
        <v>364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</row>
    <row r="14" spans="1:20" ht="75" customHeight="1" x14ac:dyDescent="0.3">
      <c r="A14" s="104" t="s">
        <v>365</v>
      </c>
      <c r="B14" s="104"/>
      <c r="C14" s="104"/>
      <c r="D14" s="104"/>
      <c r="E14" s="104"/>
      <c r="F14" s="105" t="s">
        <v>366</v>
      </c>
      <c r="G14" s="105"/>
      <c r="H14" s="105"/>
      <c r="I14" s="105"/>
      <c r="J14" s="105"/>
      <c r="K14" s="106" t="s">
        <v>367</v>
      </c>
      <c r="L14" s="106"/>
      <c r="M14" s="106"/>
      <c r="N14" s="106"/>
      <c r="O14" s="106"/>
      <c r="P14" s="107" t="s">
        <v>368</v>
      </c>
      <c r="Q14" s="107"/>
      <c r="R14" s="107"/>
      <c r="S14" s="107"/>
      <c r="T14" s="107"/>
    </row>
    <row r="15" spans="1:20" ht="13.5" customHeight="1" x14ac:dyDescent="0.3">
      <c r="A15" s="104"/>
      <c r="B15" s="104"/>
      <c r="C15" s="104"/>
      <c r="D15" s="104"/>
      <c r="E15" s="104"/>
      <c r="F15" s="105"/>
      <c r="G15" s="105"/>
      <c r="H15" s="105"/>
      <c r="I15" s="105"/>
      <c r="J15" s="105"/>
      <c r="K15" s="106"/>
      <c r="L15" s="106"/>
      <c r="M15" s="106"/>
      <c r="N15" s="106"/>
      <c r="O15" s="106"/>
      <c r="P15" s="107"/>
      <c r="Q15" s="107"/>
      <c r="R15" s="107"/>
      <c r="S15" s="107"/>
      <c r="T15" s="107"/>
    </row>
    <row r="16" spans="1:20" ht="13.5" customHeight="1" x14ac:dyDescent="0.3">
      <c r="A16" s="104"/>
      <c r="B16" s="104"/>
      <c r="C16" s="104"/>
      <c r="D16" s="104"/>
      <c r="E16" s="104"/>
      <c r="F16" s="105"/>
      <c r="G16" s="105"/>
      <c r="H16" s="105"/>
      <c r="I16" s="105"/>
      <c r="J16" s="105"/>
      <c r="K16" s="106"/>
      <c r="L16" s="106"/>
      <c r="M16" s="106"/>
      <c r="N16" s="106"/>
      <c r="O16" s="106"/>
      <c r="P16" s="107"/>
      <c r="Q16" s="107"/>
      <c r="R16" s="107"/>
      <c r="S16" s="107"/>
      <c r="T16" s="107"/>
    </row>
    <row r="17" spans="1:42" ht="13.5" customHeight="1" x14ac:dyDescent="0.3">
      <c r="A17" s="104"/>
      <c r="B17" s="104"/>
      <c r="C17" s="104"/>
      <c r="D17" s="104"/>
      <c r="E17" s="104"/>
      <c r="F17" s="105"/>
      <c r="G17" s="105"/>
      <c r="H17" s="105"/>
      <c r="I17" s="105"/>
      <c r="J17" s="105"/>
      <c r="K17" s="106"/>
      <c r="L17" s="106"/>
      <c r="M17" s="106"/>
      <c r="N17" s="106"/>
      <c r="O17" s="106"/>
      <c r="P17" s="107"/>
      <c r="Q17" s="107"/>
      <c r="R17" s="107"/>
      <c r="S17" s="107"/>
      <c r="T17" s="107"/>
    </row>
    <row r="18" spans="1:42" ht="13.5" customHeight="1" x14ac:dyDescent="0.3">
      <c r="A18" s="104"/>
      <c r="B18" s="104"/>
      <c r="C18" s="104"/>
      <c r="D18" s="104"/>
      <c r="E18" s="104"/>
      <c r="F18" s="105"/>
      <c r="G18" s="105"/>
      <c r="H18" s="105"/>
      <c r="I18" s="105"/>
      <c r="J18" s="105"/>
      <c r="K18" s="106"/>
      <c r="L18" s="106"/>
      <c r="M18" s="106"/>
      <c r="N18" s="106"/>
      <c r="O18" s="106"/>
      <c r="P18" s="107"/>
      <c r="Q18" s="107"/>
      <c r="R18" s="107"/>
      <c r="S18" s="107"/>
      <c r="T18" s="107"/>
    </row>
    <row r="21" spans="1:42" ht="21.75" customHeight="1" x14ac:dyDescent="0.3">
      <c r="A21" s="95" t="s">
        <v>369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</row>
    <row r="22" spans="1:42" ht="84.75" customHeight="1" x14ac:dyDescent="0.3">
      <c r="A22" s="96" t="s">
        <v>370</v>
      </c>
      <c r="B22" s="96"/>
      <c r="C22" s="96"/>
      <c r="D22" s="96" t="s">
        <v>371</v>
      </c>
      <c r="E22" s="96"/>
      <c r="F22" s="96"/>
      <c r="G22" s="97" t="s">
        <v>372</v>
      </c>
      <c r="H22" s="97"/>
      <c r="I22" s="97"/>
      <c r="J22" s="98" t="s">
        <v>373</v>
      </c>
      <c r="K22" s="98"/>
      <c r="L22" s="98"/>
      <c r="M22" s="98"/>
      <c r="N22" s="99" t="s">
        <v>374</v>
      </c>
      <c r="O22" s="99"/>
      <c r="P22" s="99"/>
      <c r="Q22" s="99"/>
      <c r="R22" s="100" t="s">
        <v>375</v>
      </c>
      <c r="S22" s="100"/>
      <c r="T22" s="100"/>
    </row>
    <row r="23" spans="1:42" ht="13.5" customHeight="1" x14ac:dyDescent="0.3">
      <c r="A23" s="96"/>
      <c r="B23" s="96"/>
      <c r="C23" s="96"/>
      <c r="D23" s="96"/>
      <c r="E23" s="96"/>
      <c r="F23" s="96"/>
      <c r="G23" s="97"/>
      <c r="H23" s="97"/>
      <c r="I23" s="97"/>
      <c r="J23" s="98"/>
      <c r="K23" s="98"/>
      <c r="L23" s="98"/>
      <c r="M23" s="98"/>
      <c r="N23" s="99"/>
      <c r="O23" s="99"/>
      <c r="P23" s="99"/>
      <c r="Q23" s="99"/>
      <c r="R23" s="100"/>
      <c r="S23" s="100"/>
      <c r="T23" s="100"/>
    </row>
    <row r="24" spans="1:42" ht="13.5" customHeight="1" x14ac:dyDescent="0.3">
      <c r="A24" s="96"/>
      <c r="B24" s="96"/>
      <c r="C24" s="96"/>
      <c r="D24" s="96"/>
      <c r="E24" s="96"/>
      <c r="F24" s="96"/>
      <c r="G24" s="97"/>
      <c r="H24" s="97"/>
      <c r="I24" s="97"/>
      <c r="J24" s="98"/>
      <c r="K24" s="98"/>
      <c r="L24" s="98"/>
      <c r="M24" s="98"/>
      <c r="N24" s="99"/>
      <c r="O24" s="99"/>
      <c r="P24" s="99"/>
      <c r="Q24" s="99"/>
      <c r="R24" s="100"/>
      <c r="S24" s="100"/>
      <c r="T24" s="100"/>
    </row>
    <row r="25" spans="1:42" ht="13.5" customHeight="1" x14ac:dyDescent="0.3">
      <c r="A25" s="96"/>
      <c r="B25" s="96"/>
      <c r="C25" s="96"/>
      <c r="D25" s="96"/>
      <c r="E25" s="96"/>
      <c r="F25" s="96"/>
      <c r="G25" s="97"/>
      <c r="H25" s="97"/>
      <c r="I25" s="97"/>
      <c r="J25" s="98"/>
      <c r="K25" s="98"/>
      <c r="L25" s="98"/>
      <c r="M25" s="98"/>
      <c r="N25" s="99"/>
      <c r="O25" s="99"/>
      <c r="P25" s="99"/>
      <c r="Q25" s="99"/>
      <c r="R25" s="100"/>
      <c r="S25" s="100"/>
      <c r="T25" s="100"/>
    </row>
    <row r="26" spans="1:42" ht="13.5" customHeight="1" x14ac:dyDescent="0.3">
      <c r="A26" s="96"/>
      <c r="B26" s="96"/>
      <c r="C26" s="96"/>
      <c r="D26" s="96"/>
      <c r="E26" s="96"/>
      <c r="F26" s="96"/>
      <c r="G26" s="97"/>
      <c r="H26" s="97"/>
      <c r="I26" s="97"/>
      <c r="J26" s="98"/>
      <c r="K26" s="98"/>
      <c r="L26" s="98"/>
      <c r="M26" s="98"/>
      <c r="N26" s="99"/>
      <c r="O26" s="99"/>
      <c r="P26" s="99"/>
      <c r="Q26" s="99"/>
      <c r="R26" s="100"/>
      <c r="S26" s="100"/>
      <c r="T26" s="100"/>
    </row>
    <row r="30" spans="1:42" ht="19.5" customHeight="1" x14ac:dyDescent="0.3">
      <c r="A30" s="79" t="s">
        <v>376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</row>
    <row r="31" spans="1:42" ht="27.75" customHeight="1" x14ac:dyDescent="0.3">
      <c r="A31" s="6" t="s">
        <v>50</v>
      </c>
      <c r="B31" s="94" t="s">
        <v>51</v>
      </c>
      <c r="C31" s="94"/>
      <c r="D31" s="94"/>
      <c r="E31" s="6" t="s">
        <v>377</v>
      </c>
      <c r="F31" s="6" t="s">
        <v>378</v>
      </c>
      <c r="G31" s="94" t="s">
        <v>379</v>
      </c>
      <c r="H31" s="94"/>
      <c r="I31" s="6" t="s">
        <v>380</v>
      </c>
      <c r="J31" s="94" t="s">
        <v>381</v>
      </c>
      <c r="K31" s="94"/>
      <c r="L31" s="94" t="s">
        <v>382</v>
      </c>
      <c r="M31" s="94"/>
      <c r="N31" s="94"/>
      <c r="O31" s="94"/>
      <c r="P31" s="94"/>
      <c r="Q31" s="94" t="s">
        <v>383</v>
      </c>
      <c r="R31" s="94"/>
      <c r="S31" s="94"/>
      <c r="T31" s="94"/>
      <c r="U31" s="94"/>
      <c r="V31" s="94"/>
      <c r="W31" s="94"/>
      <c r="X31" s="94"/>
      <c r="Y31" s="94" t="s">
        <v>384</v>
      </c>
      <c r="Z31" s="94"/>
      <c r="AA31" s="94"/>
      <c r="AB31" s="94"/>
      <c r="AC31" s="94"/>
      <c r="AD31" s="94"/>
      <c r="AE31" s="94"/>
      <c r="AF31" s="94"/>
      <c r="AG31" s="94" t="s">
        <v>73</v>
      </c>
      <c r="AH31" s="94"/>
      <c r="AI31" s="94"/>
      <c r="AJ31" s="94"/>
      <c r="AK31" s="94"/>
      <c r="AL31" s="94"/>
      <c r="AM31" s="94"/>
      <c r="AN31" s="94"/>
      <c r="AO31" s="94" t="s">
        <v>385</v>
      </c>
      <c r="AP31" s="94"/>
    </row>
    <row r="32" spans="1:42" ht="36" customHeight="1" x14ac:dyDescent="0.3">
      <c r="A32" s="53" t="s">
        <v>83</v>
      </c>
      <c r="B32" s="88" t="s">
        <v>84</v>
      </c>
      <c r="C32" s="88"/>
      <c r="D32" s="88"/>
      <c r="E32" s="53" t="s">
        <v>386</v>
      </c>
      <c r="F32" s="53">
        <v>20</v>
      </c>
      <c r="G32" s="89" t="s">
        <v>26</v>
      </c>
      <c r="H32" s="89"/>
      <c r="I32" s="53">
        <v>15</v>
      </c>
      <c r="J32" s="93" t="s">
        <v>27</v>
      </c>
      <c r="K32" s="93"/>
      <c r="L32" s="88" t="s">
        <v>95</v>
      </c>
      <c r="M32" s="88"/>
      <c r="N32" s="88"/>
      <c r="O32" s="88"/>
      <c r="P32" s="88"/>
      <c r="Q32" s="88" t="s">
        <v>96</v>
      </c>
      <c r="R32" s="88"/>
      <c r="S32" s="88"/>
      <c r="T32" s="88"/>
      <c r="U32" s="88"/>
      <c r="V32" s="88"/>
      <c r="W32" s="88"/>
      <c r="X32" s="88"/>
      <c r="Y32" s="88" t="s">
        <v>97</v>
      </c>
      <c r="Z32" s="88"/>
      <c r="AA32" s="88"/>
      <c r="AB32" s="88"/>
      <c r="AC32" s="88"/>
      <c r="AD32" s="88"/>
      <c r="AE32" s="88"/>
      <c r="AF32" s="88"/>
      <c r="AG32" s="88" t="s">
        <v>98</v>
      </c>
      <c r="AH32" s="88"/>
      <c r="AI32" s="88"/>
      <c r="AJ32" s="88"/>
      <c r="AK32" s="88"/>
      <c r="AL32" s="88"/>
      <c r="AM32" s="88"/>
      <c r="AN32" s="88"/>
      <c r="AO32" s="90" t="s">
        <v>387</v>
      </c>
      <c r="AP32" s="90"/>
    </row>
    <row r="33" spans="1:42" ht="36" customHeight="1" x14ac:dyDescent="0.3">
      <c r="A33" s="54" t="s">
        <v>108</v>
      </c>
      <c r="B33" s="85" t="s">
        <v>109</v>
      </c>
      <c r="C33" s="85"/>
      <c r="D33" s="85"/>
      <c r="E33" s="54" t="s">
        <v>386</v>
      </c>
      <c r="F33" s="54">
        <v>16</v>
      </c>
      <c r="G33" s="89" t="s">
        <v>26</v>
      </c>
      <c r="H33" s="89"/>
      <c r="I33" s="54">
        <v>12</v>
      </c>
      <c r="J33" s="93" t="s">
        <v>27</v>
      </c>
      <c r="K33" s="93"/>
      <c r="L33" s="85" t="s">
        <v>119</v>
      </c>
      <c r="M33" s="85"/>
      <c r="N33" s="85"/>
      <c r="O33" s="85"/>
      <c r="P33" s="85"/>
      <c r="Q33" s="85" t="s">
        <v>120</v>
      </c>
      <c r="R33" s="85"/>
      <c r="S33" s="85"/>
      <c r="T33" s="85"/>
      <c r="U33" s="85"/>
      <c r="V33" s="85"/>
      <c r="W33" s="85"/>
      <c r="X33" s="85"/>
      <c r="Y33" s="85" t="s">
        <v>121</v>
      </c>
      <c r="Z33" s="85"/>
      <c r="AA33" s="85"/>
      <c r="AB33" s="85"/>
      <c r="AC33" s="85"/>
      <c r="AD33" s="85"/>
      <c r="AE33" s="85"/>
      <c r="AF33" s="85"/>
      <c r="AG33" s="85" t="s">
        <v>122</v>
      </c>
      <c r="AH33" s="85"/>
      <c r="AI33" s="85"/>
      <c r="AJ33" s="85"/>
      <c r="AK33" s="85"/>
      <c r="AL33" s="85"/>
      <c r="AM33" s="85"/>
      <c r="AN33" s="85"/>
      <c r="AO33" s="90" t="s">
        <v>387</v>
      </c>
      <c r="AP33" s="90"/>
    </row>
    <row r="34" spans="1:42" ht="36" customHeight="1" x14ac:dyDescent="0.3">
      <c r="A34" s="53" t="s">
        <v>128</v>
      </c>
      <c r="B34" s="88" t="s">
        <v>129</v>
      </c>
      <c r="C34" s="88"/>
      <c r="D34" s="88"/>
      <c r="E34" s="53" t="s">
        <v>386</v>
      </c>
      <c r="F34" s="53">
        <v>25</v>
      </c>
      <c r="G34" s="89" t="s">
        <v>26</v>
      </c>
      <c r="H34" s="89"/>
      <c r="I34" s="53">
        <v>19</v>
      </c>
      <c r="J34" s="89" t="s">
        <v>26</v>
      </c>
      <c r="K34" s="89"/>
      <c r="L34" s="88" t="s">
        <v>138</v>
      </c>
      <c r="M34" s="88"/>
      <c r="N34" s="88"/>
      <c r="O34" s="88"/>
      <c r="P34" s="88"/>
      <c r="Q34" s="88" t="s">
        <v>139</v>
      </c>
      <c r="R34" s="88"/>
      <c r="S34" s="88"/>
      <c r="T34" s="88"/>
      <c r="U34" s="88"/>
      <c r="V34" s="88"/>
      <c r="W34" s="88"/>
      <c r="X34" s="88"/>
      <c r="Y34" s="88" t="s">
        <v>140</v>
      </c>
      <c r="Z34" s="88"/>
      <c r="AA34" s="88"/>
      <c r="AB34" s="88"/>
      <c r="AC34" s="88"/>
      <c r="AD34" s="88"/>
      <c r="AE34" s="88"/>
      <c r="AF34" s="88"/>
      <c r="AG34" s="88" t="s">
        <v>141</v>
      </c>
      <c r="AH34" s="88"/>
      <c r="AI34" s="88"/>
      <c r="AJ34" s="88"/>
      <c r="AK34" s="88"/>
      <c r="AL34" s="88"/>
      <c r="AM34" s="88"/>
      <c r="AN34" s="88"/>
      <c r="AO34" s="90" t="s">
        <v>387</v>
      </c>
      <c r="AP34" s="90"/>
    </row>
    <row r="35" spans="1:42" ht="36" customHeight="1" x14ac:dyDescent="0.3">
      <c r="A35" s="54" t="s">
        <v>146</v>
      </c>
      <c r="B35" s="85" t="s">
        <v>147</v>
      </c>
      <c r="C35" s="85"/>
      <c r="D35" s="85"/>
      <c r="E35" s="54" t="s">
        <v>388</v>
      </c>
      <c r="F35" s="54">
        <v>16</v>
      </c>
      <c r="G35" s="89" t="s">
        <v>26</v>
      </c>
      <c r="H35" s="89"/>
      <c r="I35" s="54">
        <v>16</v>
      </c>
      <c r="J35" s="89" t="s">
        <v>26</v>
      </c>
      <c r="K35" s="89"/>
      <c r="L35" s="85" t="s">
        <v>155</v>
      </c>
      <c r="M35" s="85"/>
      <c r="N35" s="85"/>
      <c r="O35" s="85"/>
      <c r="P35" s="85"/>
      <c r="Q35" s="85" t="s">
        <v>156</v>
      </c>
      <c r="R35" s="85"/>
      <c r="S35" s="85"/>
      <c r="T35" s="85"/>
      <c r="U35" s="85"/>
      <c r="V35" s="85"/>
      <c r="W35" s="85"/>
      <c r="X35" s="85"/>
      <c r="Y35" s="85" t="s">
        <v>157</v>
      </c>
      <c r="Z35" s="85"/>
      <c r="AA35" s="85"/>
      <c r="AB35" s="85"/>
      <c r="AC35" s="85"/>
      <c r="AD35" s="85"/>
      <c r="AE35" s="85"/>
      <c r="AF35" s="85"/>
      <c r="AG35" s="85" t="s">
        <v>158</v>
      </c>
      <c r="AH35" s="85"/>
      <c r="AI35" s="85"/>
      <c r="AJ35" s="85"/>
      <c r="AK35" s="85"/>
      <c r="AL35" s="85"/>
      <c r="AM35" s="85"/>
      <c r="AN35" s="85"/>
      <c r="AO35" s="90" t="s">
        <v>387</v>
      </c>
      <c r="AP35" s="90"/>
    </row>
    <row r="36" spans="1:42" ht="36" customHeight="1" x14ac:dyDescent="0.3">
      <c r="A36" s="53" t="s">
        <v>162</v>
      </c>
      <c r="B36" s="88" t="s">
        <v>163</v>
      </c>
      <c r="C36" s="88"/>
      <c r="D36" s="88"/>
      <c r="E36" s="53" t="s">
        <v>389</v>
      </c>
      <c r="F36" s="53">
        <v>15</v>
      </c>
      <c r="G36" s="93" t="s">
        <v>27</v>
      </c>
      <c r="H36" s="93"/>
      <c r="I36" s="53">
        <v>4</v>
      </c>
      <c r="J36" s="86" t="s">
        <v>29</v>
      </c>
      <c r="K36" s="86"/>
      <c r="L36" s="88" t="s">
        <v>173</v>
      </c>
      <c r="M36" s="88"/>
      <c r="N36" s="88"/>
      <c r="O36" s="88"/>
      <c r="P36" s="88"/>
      <c r="Q36" s="88" t="s">
        <v>174</v>
      </c>
      <c r="R36" s="88"/>
      <c r="S36" s="88"/>
      <c r="T36" s="88"/>
      <c r="U36" s="88"/>
      <c r="V36" s="88"/>
      <c r="W36" s="88"/>
      <c r="X36" s="88"/>
      <c r="Y36" s="88" t="s">
        <v>175</v>
      </c>
      <c r="Z36" s="88"/>
      <c r="AA36" s="88"/>
      <c r="AB36" s="88"/>
      <c r="AC36" s="88"/>
      <c r="AD36" s="88"/>
      <c r="AE36" s="88"/>
      <c r="AF36" s="88"/>
      <c r="AG36" s="88" t="s">
        <v>176</v>
      </c>
      <c r="AH36" s="88"/>
      <c r="AI36" s="88"/>
      <c r="AJ36" s="88"/>
      <c r="AK36" s="88"/>
      <c r="AL36" s="88"/>
      <c r="AM36" s="88"/>
      <c r="AN36" s="88"/>
      <c r="AO36" s="92" t="s">
        <v>390</v>
      </c>
      <c r="AP36" s="92"/>
    </row>
    <row r="37" spans="1:42" ht="36" customHeight="1" x14ac:dyDescent="0.3">
      <c r="A37" s="54" t="s">
        <v>183</v>
      </c>
      <c r="B37" s="85" t="s">
        <v>184</v>
      </c>
      <c r="C37" s="85"/>
      <c r="D37" s="85"/>
      <c r="E37" s="54" t="s">
        <v>391</v>
      </c>
      <c r="F37" s="54">
        <v>12</v>
      </c>
      <c r="G37" s="93" t="s">
        <v>27</v>
      </c>
      <c r="H37" s="93"/>
      <c r="I37" s="54">
        <v>6</v>
      </c>
      <c r="J37" s="91" t="s">
        <v>28</v>
      </c>
      <c r="K37" s="91"/>
      <c r="L37" s="85" t="s">
        <v>193</v>
      </c>
      <c r="M37" s="85"/>
      <c r="N37" s="85"/>
      <c r="O37" s="85"/>
      <c r="P37" s="85"/>
      <c r="Q37" s="85" t="s">
        <v>194</v>
      </c>
      <c r="R37" s="85"/>
      <c r="S37" s="85"/>
      <c r="T37" s="85"/>
      <c r="U37" s="85"/>
      <c r="V37" s="85"/>
      <c r="W37" s="85"/>
      <c r="X37" s="85"/>
      <c r="Y37" s="85" t="s">
        <v>195</v>
      </c>
      <c r="Z37" s="85"/>
      <c r="AA37" s="85"/>
      <c r="AB37" s="85"/>
      <c r="AC37" s="85"/>
      <c r="AD37" s="85"/>
      <c r="AE37" s="85"/>
      <c r="AF37" s="85"/>
      <c r="AG37" s="85" t="s">
        <v>196</v>
      </c>
      <c r="AH37" s="85"/>
      <c r="AI37" s="85"/>
      <c r="AJ37" s="85"/>
      <c r="AK37" s="85"/>
      <c r="AL37" s="85"/>
      <c r="AM37" s="85"/>
      <c r="AN37" s="85"/>
      <c r="AO37" s="87" t="s">
        <v>392</v>
      </c>
      <c r="AP37" s="87"/>
    </row>
    <row r="38" spans="1:42" ht="36" customHeight="1" x14ac:dyDescent="0.3">
      <c r="A38" s="53" t="s">
        <v>200</v>
      </c>
      <c r="B38" s="88" t="s">
        <v>201</v>
      </c>
      <c r="C38" s="88"/>
      <c r="D38" s="88"/>
      <c r="E38" s="53" t="s">
        <v>389</v>
      </c>
      <c r="F38" s="53">
        <v>9</v>
      </c>
      <c r="G38" s="91" t="s">
        <v>28</v>
      </c>
      <c r="H38" s="91"/>
      <c r="I38" s="53">
        <v>2</v>
      </c>
      <c r="J38" s="86" t="s">
        <v>29</v>
      </c>
      <c r="K38" s="86"/>
      <c r="L38" s="88" t="s">
        <v>210</v>
      </c>
      <c r="M38" s="88"/>
      <c r="N38" s="88"/>
      <c r="O38" s="88"/>
      <c r="P38" s="88"/>
      <c r="Q38" s="88" t="s">
        <v>211</v>
      </c>
      <c r="R38" s="88"/>
      <c r="S38" s="88"/>
      <c r="T38" s="88"/>
      <c r="U38" s="88"/>
      <c r="V38" s="88"/>
      <c r="W38" s="88"/>
      <c r="X38" s="88"/>
      <c r="Y38" s="88" t="s">
        <v>212</v>
      </c>
      <c r="Z38" s="88"/>
      <c r="AA38" s="88"/>
      <c r="AB38" s="88"/>
      <c r="AC38" s="88"/>
      <c r="AD38" s="88"/>
      <c r="AE38" s="88"/>
      <c r="AF38" s="88"/>
      <c r="AG38" s="88" t="s">
        <v>213</v>
      </c>
      <c r="AH38" s="88"/>
      <c r="AI38" s="88"/>
      <c r="AJ38" s="88"/>
      <c r="AK38" s="88"/>
      <c r="AL38" s="88"/>
      <c r="AM38" s="88"/>
      <c r="AN38" s="88"/>
      <c r="AO38" s="92" t="s">
        <v>390</v>
      </c>
      <c r="AP38" s="92"/>
    </row>
    <row r="39" spans="1:42" ht="36" customHeight="1" x14ac:dyDescent="0.3">
      <c r="A39" s="54" t="s">
        <v>217</v>
      </c>
      <c r="B39" s="85" t="s">
        <v>218</v>
      </c>
      <c r="C39" s="85"/>
      <c r="D39" s="85"/>
      <c r="E39" s="54" t="s">
        <v>389</v>
      </c>
      <c r="F39" s="54">
        <v>15</v>
      </c>
      <c r="G39" s="93" t="s">
        <v>27</v>
      </c>
      <c r="H39" s="93"/>
      <c r="I39" s="54">
        <v>4</v>
      </c>
      <c r="J39" s="86" t="s">
        <v>29</v>
      </c>
      <c r="K39" s="86"/>
      <c r="L39" s="85" t="s">
        <v>226</v>
      </c>
      <c r="M39" s="85"/>
      <c r="N39" s="85"/>
      <c r="O39" s="85"/>
      <c r="P39" s="85"/>
      <c r="Q39" s="85" t="s">
        <v>227</v>
      </c>
      <c r="R39" s="85"/>
      <c r="S39" s="85"/>
      <c r="T39" s="85"/>
      <c r="U39" s="85"/>
      <c r="V39" s="85"/>
      <c r="W39" s="85"/>
      <c r="X39" s="85"/>
      <c r="Y39" s="85" t="s">
        <v>228</v>
      </c>
      <c r="Z39" s="85"/>
      <c r="AA39" s="85"/>
      <c r="AB39" s="85"/>
      <c r="AC39" s="85"/>
      <c r="AD39" s="85"/>
      <c r="AE39" s="85"/>
      <c r="AF39" s="85"/>
      <c r="AG39" s="85" t="s">
        <v>229</v>
      </c>
      <c r="AH39" s="85"/>
      <c r="AI39" s="85"/>
      <c r="AJ39" s="85"/>
      <c r="AK39" s="85"/>
      <c r="AL39" s="85"/>
      <c r="AM39" s="85"/>
      <c r="AN39" s="85"/>
      <c r="AO39" s="92" t="s">
        <v>390</v>
      </c>
      <c r="AP39" s="92"/>
    </row>
    <row r="40" spans="1:42" ht="36" customHeight="1" x14ac:dyDescent="0.3">
      <c r="A40" s="53" t="s">
        <v>232</v>
      </c>
      <c r="B40" s="88" t="s">
        <v>233</v>
      </c>
      <c r="C40" s="88"/>
      <c r="D40" s="88"/>
      <c r="E40" s="53" t="s">
        <v>391</v>
      </c>
      <c r="F40" s="53">
        <v>16</v>
      </c>
      <c r="G40" s="89" t="s">
        <v>26</v>
      </c>
      <c r="H40" s="89"/>
      <c r="I40" s="53">
        <v>8</v>
      </c>
      <c r="J40" s="91" t="s">
        <v>28</v>
      </c>
      <c r="K40" s="91"/>
      <c r="L40" s="88" t="s">
        <v>242</v>
      </c>
      <c r="M40" s="88"/>
      <c r="N40" s="88"/>
      <c r="O40" s="88"/>
      <c r="P40" s="88"/>
      <c r="Q40" s="88" t="s">
        <v>243</v>
      </c>
      <c r="R40" s="88"/>
      <c r="S40" s="88"/>
      <c r="T40" s="88"/>
      <c r="U40" s="88"/>
      <c r="V40" s="88"/>
      <c r="W40" s="88"/>
      <c r="X40" s="88"/>
      <c r="Y40" s="88" t="s">
        <v>244</v>
      </c>
      <c r="Z40" s="88"/>
      <c r="AA40" s="88"/>
      <c r="AB40" s="88"/>
      <c r="AC40" s="88"/>
      <c r="AD40" s="88"/>
      <c r="AE40" s="88"/>
      <c r="AF40" s="88"/>
      <c r="AG40" s="88" t="s">
        <v>245</v>
      </c>
      <c r="AH40" s="88"/>
      <c r="AI40" s="88"/>
      <c r="AJ40" s="88"/>
      <c r="AK40" s="88"/>
      <c r="AL40" s="88"/>
      <c r="AM40" s="88"/>
      <c r="AN40" s="88"/>
      <c r="AO40" s="87" t="s">
        <v>392</v>
      </c>
      <c r="AP40" s="87"/>
    </row>
    <row r="41" spans="1:42" ht="36" customHeight="1" x14ac:dyDescent="0.3">
      <c r="A41" s="54" t="s">
        <v>249</v>
      </c>
      <c r="B41" s="85" t="s">
        <v>250</v>
      </c>
      <c r="C41" s="85"/>
      <c r="D41" s="85"/>
      <c r="E41" s="54" t="s">
        <v>386</v>
      </c>
      <c r="F41" s="54">
        <v>20</v>
      </c>
      <c r="G41" s="89" t="s">
        <v>26</v>
      </c>
      <c r="H41" s="89"/>
      <c r="I41" s="54">
        <v>15</v>
      </c>
      <c r="J41" s="93" t="s">
        <v>27</v>
      </c>
      <c r="K41" s="93"/>
      <c r="L41" s="85" t="s">
        <v>257</v>
      </c>
      <c r="M41" s="85"/>
      <c r="N41" s="85"/>
      <c r="O41" s="85"/>
      <c r="P41" s="85"/>
      <c r="Q41" s="85" t="s">
        <v>258</v>
      </c>
      <c r="R41" s="85"/>
      <c r="S41" s="85"/>
      <c r="T41" s="85"/>
      <c r="U41" s="85"/>
      <c r="V41" s="85"/>
      <c r="W41" s="85"/>
      <c r="X41" s="85"/>
      <c r="Y41" s="85" t="s">
        <v>259</v>
      </c>
      <c r="Z41" s="85"/>
      <c r="AA41" s="85"/>
      <c r="AB41" s="85"/>
      <c r="AC41" s="85"/>
      <c r="AD41" s="85"/>
      <c r="AE41" s="85"/>
      <c r="AF41" s="85"/>
      <c r="AG41" s="85" t="s">
        <v>260</v>
      </c>
      <c r="AH41" s="85"/>
      <c r="AI41" s="85"/>
      <c r="AJ41" s="85"/>
      <c r="AK41" s="85"/>
      <c r="AL41" s="85"/>
      <c r="AM41" s="85"/>
      <c r="AN41" s="85"/>
      <c r="AO41" s="90" t="s">
        <v>387</v>
      </c>
      <c r="AP41" s="90"/>
    </row>
    <row r="42" spans="1:42" ht="36" customHeight="1" x14ac:dyDescent="0.3">
      <c r="A42" s="53" t="s">
        <v>263</v>
      </c>
      <c r="B42" s="88" t="s">
        <v>264</v>
      </c>
      <c r="C42" s="88"/>
      <c r="D42" s="88"/>
      <c r="E42" s="53" t="s">
        <v>391</v>
      </c>
      <c r="F42" s="53">
        <v>12</v>
      </c>
      <c r="G42" s="93" t="s">
        <v>27</v>
      </c>
      <c r="H42" s="93"/>
      <c r="I42" s="53">
        <v>6</v>
      </c>
      <c r="J42" s="91" t="s">
        <v>28</v>
      </c>
      <c r="K42" s="91"/>
      <c r="L42" s="88" t="s">
        <v>273</v>
      </c>
      <c r="M42" s="88"/>
      <c r="N42" s="88"/>
      <c r="O42" s="88"/>
      <c r="P42" s="88"/>
      <c r="Q42" s="88" t="s">
        <v>274</v>
      </c>
      <c r="R42" s="88"/>
      <c r="S42" s="88"/>
      <c r="T42" s="88"/>
      <c r="U42" s="88"/>
      <c r="V42" s="88"/>
      <c r="W42" s="88"/>
      <c r="X42" s="88"/>
      <c r="Y42" s="88" t="s">
        <v>275</v>
      </c>
      <c r="Z42" s="88"/>
      <c r="AA42" s="88"/>
      <c r="AB42" s="88"/>
      <c r="AC42" s="88"/>
      <c r="AD42" s="88"/>
      <c r="AE42" s="88"/>
      <c r="AF42" s="88"/>
      <c r="AG42" s="88" t="s">
        <v>276</v>
      </c>
      <c r="AH42" s="88"/>
      <c r="AI42" s="88"/>
      <c r="AJ42" s="88"/>
      <c r="AK42" s="88"/>
      <c r="AL42" s="88"/>
      <c r="AM42" s="88"/>
      <c r="AN42" s="88"/>
      <c r="AO42" s="87" t="s">
        <v>392</v>
      </c>
      <c r="AP42" s="87"/>
    </row>
    <row r="43" spans="1:42" ht="36" customHeight="1" x14ac:dyDescent="0.3">
      <c r="A43" s="54" t="s">
        <v>281</v>
      </c>
      <c r="B43" s="85" t="s">
        <v>282</v>
      </c>
      <c r="C43" s="85"/>
      <c r="D43" s="85"/>
      <c r="E43" s="54" t="s">
        <v>393</v>
      </c>
      <c r="F43" s="54">
        <v>9</v>
      </c>
      <c r="G43" s="91" t="s">
        <v>28</v>
      </c>
      <c r="H43" s="91"/>
      <c r="I43" s="54">
        <v>1</v>
      </c>
      <c r="J43" s="86" t="s">
        <v>29</v>
      </c>
      <c r="K43" s="86"/>
      <c r="L43" s="85" t="s">
        <v>290</v>
      </c>
      <c r="M43" s="85"/>
      <c r="N43" s="85"/>
      <c r="O43" s="85"/>
      <c r="P43" s="85"/>
      <c r="Q43" s="85" t="s">
        <v>291</v>
      </c>
      <c r="R43" s="85"/>
      <c r="S43" s="85"/>
      <c r="T43" s="85"/>
      <c r="U43" s="85"/>
      <c r="V43" s="85"/>
      <c r="W43" s="85"/>
      <c r="X43" s="85"/>
      <c r="Y43" s="85" t="s">
        <v>292</v>
      </c>
      <c r="Z43" s="85"/>
      <c r="AA43" s="85"/>
      <c r="AB43" s="85"/>
      <c r="AC43" s="85"/>
      <c r="AD43" s="85"/>
      <c r="AE43" s="85"/>
      <c r="AF43" s="85"/>
      <c r="AG43" s="85" t="s">
        <v>293</v>
      </c>
      <c r="AH43" s="85"/>
      <c r="AI43" s="85"/>
      <c r="AJ43" s="85"/>
      <c r="AK43" s="85"/>
      <c r="AL43" s="85"/>
      <c r="AM43" s="85"/>
      <c r="AN43" s="85"/>
      <c r="AO43" s="92" t="s">
        <v>390</v>
      </c>
      <c r="AP43" s="92"/>
    </row>
    <row r="44" spans="1:42" ht="36" customHeight="1" x14ac:dyDescent="0.3">
      <c r="A44" s="53" t="s">
        <v>298</v>
      </c>
      <c r="B44" s="88" t="s">
        <v>299</v>
      </c>
      <c r="C44" s="88"/>
      <c r="D44" s="88"/>
      <c r="E44" s="53" t="s">
        <v>391</v>
      </c>
      <c r="F44" s="53">
        <v>12</v>
      </c>
      <c r="G44" s="93" t="s">
        <v>27</v>
      </c>
      <c r="H44" s="93"/>
      <c r="I44" s="53">
        <v>6</v>
      </c>
      <c r="J44" s="91" t="s">
        <v>28</v>
      </c>
      <c r="K44" s="91"/>
      <c r="L44" s="88" t="s">
        <v>308</v>
      </c>
      <c r="M44" s="88"/>
      <c r="N44" s="88"/>
      <c r="O44" s="88"/>
      <c r="P44" s="88"/>
      <c r="Q44" s="88" t="s">
        <v>309</v>
      </c>
      <c r="R44" s="88"/>
      <c r="S44" s="88"/>
      <c r="T44" s="88"/>
      <c r="U44" s="88"/>
      <c r="V44" s="88"/>
      <c r="W44" s="88"/>
      <c r="X44" s="88"/>
      <c r="Y44" s="88" t="s">
        <v>310</v>
      </c>
      <c r="Z44" s="88"/>
      <c r="AA44" s="88"/>
      <c r="AB44" s="88"/>
      <c r="AC44" s="88"/>
      <c r="AD44" s="88"/>
      <c r="AE44" s="88"/>
      <c r="AF44" s="88"/>
      <c r="AG44" s="88" t="s">
        <v>311</v>
      </c>
      <c r="AH44" s="88"/>
      <c r="AI44" s="88"/>
      <c r="AJ44" s="88"/>
      <c r="AK44" s="88"/>
      <c r="AL44" s="88"/>
      <c r="AM44" s="88"/>
      <c r="AN44" s="88"/>
      <c r="AO44" s="87" t="s">
        <v>392</v>
      </c>
      <c r="AP44" s="87"/>
    </row>
    <row r="45" spans="1:42" ht="36" customHeight="1" x14ac:dyDescent="0.3">
      <c r="A45" s="54" t="s">
        <v>314</v>
      </c>
      <c r="B45" s="85" t="s">
        <v>315</v>
      </c>
      <c r="C45" s="85"/>
      <c r="D45" s="85"/>
      <c r="E45" s="54" t="s">
        <v>391</v>
      </c>
      <c r="F45" s="54">
        <v>4</v>
      </c>
      <c r="G45" s="86" t="s">
        <v>29</v>
      </c>
      <c r="H45" s="86"/>
      <c r="I45" s="54">
        <v>2</v>
      </c>
      <c r="J45" s="86" t="s">
        <v>29</v>
      </c>
      <c r="K45" s="86"/>
      <c r="L45" s="85" t="s">
        <v>324</v>
      </c>
      <c r="M45" s="85"/>
      <c r="N45" s="85"/>
      <c r="O45" s="85"/>
      <c r="P45" s="85"/>
      <c r="Q45" s="85" t="s">
        <v>325</v>
      </c>
      <c r="R45" s="85"/>
      <c r="S45" s="85"/>
      <c r="T45" s="85"/>
      <c r="U45" s="85"/>
      <c r="V45" s="85"/>
      <c r="W45" s="85"/>
      <c r="X45" s="85"/>
      <c r="Y45" s="85" t="s">
        <v>326</v>
      </c>
      <c r="Z45" s="85"/>
      <c r="AA45" s="85"/>
      <c r="AB45" s="85"/>
      <c r="AC45" s="85"/>
      <c r="AD45" s="85"/>
      <c r="AE45" s="85"/>
      <c r="AF45" s="85"/>
      <c r="AG45" s="85" t="s">
        <v>327</v>
      </c>
      <c r="AH45" s="85"/>
      <c r="AI45" s="85"/>
      <c r="AJ45" s="85"/>
      <c r="AK45" s="85"/>
      <c r="AL45" s="85"/>
      <c r="AM45" s="85"/>
      <c r="AN45" s="85"/>
      <c r="AO45" s="87" t="s">
        <v>392</v>
      </c>
      <c r="AP45" s="87"/>
    </row>
    <row r="46" spans="1:42" ht="36" customHeight="1" x14ac:dyDescent="0.3">
      <c r="A46" s="53" t="s">
        <v>329</v>
      </c>
      <c r="B46" s="88" t="s">
        <v>330</v>
      </c>
      <c r="C46" s="88"/>
      <c r="D46" s="88"/>
      <c r="E46" s="53" t="s">
        <v>388</v>
      </c>
      <c r="F46" s="53">
        <v>25</v>
      </c>
      <c r="G46" s="89" t="s">
        <v>26</v>
      </c>
      <c r="H46" s="89"/>
      <c r="I46" s="53">
        <v>25</v>
      </c>
      <c r="J46" s="89" t="s">
        <v>26</v>
      </c>
      <c r="K46" s="89"/>
      <c r="L46" s="88" t="s">
        <v>337</v>
      </c>
      <c r="M46" s="88"/>
      <c r="N46" s="88"/>
      <c r="O46" s="88"/>
      <c r="P46" s="88"/>
      <c r="Q46" s="88" t="s">
        <v>338</v>
      </c>
      <c r="R46" s="88"/>
      <c r="S46" s="88"/>
      <c r="T46" s="88"/>
      <c r="U46" s="88"/>
      <c r="V46" s="88"/>
      <c r="W46" s="88"/>
      <c r="X46" s="88"/>
      <c r="Y46" s="88" t="s">
        <v>339</v>
      </c>
      <c r="Z46" s="88"/>
      <c r="AA46" s="88"/>
      <c r="AB46" s="88"/>
      <c r="AC46" s="88"/>
      <c r="AD46" s="88"/>
      <c r="AE46" s="88"/>
      <c r="AF46" s="88"/>
      <c r="AG46" s="88" t="s">
        <v>340</v>
      </c>
      <c r="AH46" s="88"/>
      <c r="AI46" s="88"/>
      <c r="AJ46" s="88"/>
      <c r="AK46" s="88"/>
      <c r="AL46" s="88"/>
      <c r="AM46" s="88"/>
      <c r="AN46" s="88"/>
      <c r="AO46" s="90" t="s">
        <v>387</v>
      </c>
      <c r="AP46" s="90"/>
    </row>
  </sheetData>
  <mergeCells count="148">
    <mergeCell ref="A1:T1"/>
    <mergeCell ref="A2:H2"/>
    <mergeCell ref="J2:Q2"/>
    <mergeCell ref="A3:A8"/>
    <mergeCell ref="J3:J8"/>
    <mergeCell ref="B10:G10"/>
    <mergeCell ref="K10:P10"/>
    <mergeCell ref="A13:T13"/>
    <mergeCell ref="A14:E18"/>
    <mergeCell ref="F14:J18"/>
    <mergeCell ref="K14:O18"/>
    <mergeCell ref="P14:T18"/>
    <mergeCell ref="A21:T21"/>
    <mergeCell ref="A22:C26"/>
    <mergeCell ref="D22:F26"/>
    <mergeCell ref="G22:I26"/>
    <mergeCell ref="J22:M26"/>
    <mergeCell ref="N22:Q26"/>
    <mergeCell ref="R22:T26"/>
    <mergeCell ref="A30:T30"/>
    <mergeCell ref="B31:D31"/>
    <mergeCell ref="G31:H31"/>
    <mergeCell ref="J31:K31"/>
    <mergeCell ref="L31:P31"/>
    <mergeCell ref="Q31:X31"/>
    <mergeCell ref="Y31:AF31"/>
    <mergeCell ref="AG31:AN31"/>
    <mergeCell ref="AO31:AP31"/>
    <mergeCell ref="B32:D32"/>
    <mergeCell ref="G32:H32"/>
    <mergeCell ref="J32:K32"/>
    <mergeCell ref="L32:P32"/>
    <mergeCell ref="Q32:X32"/>
    <mergeCell ref="Y32:AF32"/>
    <mergeCell ref="AG32:AN32"/>
    <mergeCell ref="AO32:AP32"/>
    <mergeCell ref="B33:D33"/>
    <mergeCell ref="G33:H33"/>
    <mergeCell ref="J33:K33"/>
    <mergeCell ref="L33:P33"/>
    <mergeCell ref="Q33:X33"/>
    <mergeCell ref="Y33:AF33"/>
    <mergeCell ref="AG33:AN33"/>
    <mergeCell ref="AO33:AP33"/>
    <mergeCell ref="B34:D34"/>
    <mergeCell ref="G34:H34"/>
    <mergeCell ref="J34:K34"/>
    <mergeCell ref="L34:P34"/>
    <mergeCell ref="Q34:X34"/>
    <mergeCell ref="Y34:AF34"/>
    <mergeCell ref="AG34:AN34"/>
    <mergeCell ref="AO34:AP34"/>
    <mergeCell ref="B35:D35"/>
    <mergeCell ref="G35:H35"/>
    <mergeCell ref="J35:K35"/>
    <mergeCell ref="L35:P35"/>
    <mergeCell ref="Q35:X35"/>
    <mergeCell ref="Y35:AF35"/>
    <mergeCell ref="AG35:AN35"/>
    <mergeCell ref="AO35:AP35"/>
    <mergeCell ref="B36:D36"/>
    <mergeCell ref="G36:H36"/>
    <mergeCell ref="J36:K36"/>
    <mergeCell ref="L36:P36"/>
    <mergeCell ref="Q36:X36"/>
    <mergeCell ref="Y36:AF36"/>
    <mergeCell ref="AG36:AN36"/>
    <mergeCell ref="AO36:AP36"/>
    <mergeCell ref="B37:D37"/>
    <mergeCell ref="G37:H37"/>
    <mergeCell ref="J37:K37"/>
    <mergeCell ref="L37:P37"/>
    <mergeCell ref="Q37:X37"/>
    <mergeCell ref="Y37:AF37"/>
    <mergeCell ref="AG37:AN37"/>
    <mergeCell ref="AO37:AP37"/>
    <mergeCell ref="B38:D38"/>
    <mergeCell ref="G38:H38"/>
    <mergeCell ref="J38:K38"/>
    <mergeCell ref="L38:P38"/>
    <mergeCell ref="Q38:X38"/>
    <mergeCell ref="Y38:AF38"/>
    <mergeCell ref="AG38:AN38"/>
    <mergeCell ref="AO38:AP38"/>
    <mergeCell ref="B39:D39"/>
    <mergeCell ref="G39:H39"/>
    <mergeCell ref="J39:K39"/>
    <mergeCell ref="L39:P39"/>
    <mergeCell ref="Q39:X39"/>
    <mergeCell ref="Y39:AF39"/>
    <mergeCell ref="AG39:AN39"/>
    <mergeCell ref="AO39:AP39"/>
    <mergeCell ref="B40:D40"/>
    <mergeCell ref="G40:H40"/>
    <mergeCell ref="J40:K40"/>
    <mergeCell ref="L40:P40"/>
    <mergeCell ref="Q40:X40"/>
    <mergeCell ref="Y40:AF40"/>
    <mergeCell ref="AG40:AN40"/>
    <mergeCell ref="AO40:AP40"/>
    <mergeCell ref="B41:D41"/>
    <mergeCell ref="G41:H41"/>
    <mergeCell ref="J41:K41"/>
    <mergeCell ref="L41:P41"/>
    <mergeCell ref="Q41:X41"/>
    <mergeCell ref="Y41:AF41"/>
    <mergeCell ref="AG41:AN41"/>
    <mergeCell ref="AO41:AP41"/>
    <mergeCell ref="B42:D42"/>
    <mergeCell ref="G42:H42"/>
    <mergeCell ref="J42:K42"/>
    <mergeCell ref="L42:P42"/>
    <mergeCell ref="Q42:X42"/>
    <mergeCell ref="Y42:AF42"/>
    <mergeCell ref="AG42:AN42"/>
    <mergeCell ref="AO42:AP42"/>
    <mergeCell ref="B43:D43"/>
    <mergeCell ref="G43:H43"/>
    <mergeCell ref="J43:K43"/>
    <mergeCell ref="L43:P43"/>
    <mergeCell ref="Q43:X43"/>
    <mergeCell ref="Y43:AF43"/>
    <mergeCell ref="AG43:AN43"/>
    <mergeCell ref="AO43:AP43"/>
    <mergeCell ref="B44:D44"/>
    <mergeCell ref="G44:H44"/>
    <mergeCell ref="J44:K44"/>
    <mergeCell ref="L44:P44"/>
    <mergeCell ref="Q44:X44"/>
    <mergeCell ref="Y44:AF44"/>
    <mergeCell ref="AG44:AN44"/>
    <mergeCell ref="AO44:AP44"/>
    <mergeCell ref="B45:D45"/>
    <mergeCell ref="G45:H45"/>
    <mergeCell ref="J45:K45"/>
    <mergeCell ref="L45:P45"/>
    <mergeCell ref="Q45:X45"/>
    <mergeCell ref="Y45:AF45"/>
    <mergeCell ref="AG45:AN45"/>
    <mergeCell ref="AO45:AP45"/>
    <mergeCell ref="B46:D46"/>
    <mergeCell ref="G46:H46"/>
    <mergeCell ref="J46:K46"/>
    <mergeCell ref="L46:P46"/>
    <mergeCell ref="Q46:X46"/>
    <mergeCell ref="Y46:AF46"/>
    <mergeCell ref="AG46:AN46"/>
    <mergeCell ref="AO46:AP4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7" sqref="F37"/>
    </sheetView>
  </sheetViews>
  <sheetFormatPr defaultColWidth="8.6640625" defaultRowHeight="14.4" x14ac:dyDescent="0.3"/>
  <cols>
    <col min="1" max="1" width="26" customWidth="1"/>
    <col min="2" max="2" width="28" customWidth="1"/>
    <col min="3" max="3" width="10" customWidth="1"/>
    <col min="4" max="5" width="16" customWidth="1"/>
    <col min="6" max="6" width="30" customWidth="1"/>
    <col min="7" max="7" width="8" customWidth="1"/>
    <col min="8" max="8" width="38" customWidth="1"/>
    <col min="9" max="9" width="36" customWidth="1"/>
    <col min="10" max="10" width="9" customWidth="1"/>
    <col min="11" max="11" width="11" customWidth="1"/>
    <col min="12" max="12" width="18" customWidth="1"/>
  </cols>
  <sheetData>
    <row r="1" spans="1:12" ht="27.75" customHeight="1" x14ac:dyDescent="0.3">
      <c r="A1" s="101" t="s">
        <v>394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2" spans="1:12" ht="37.5" customHeight="1" x14ac:dyDescent="0.3">
      <c r="A2" s="6" t="s">
        <v>24</v>
      </c>
      <c r="B2" s="6" t="s">
        <v>395</v>
      </c>
      <c r="C2" s="6" t="s">
        <v>54</v>
      </c>
      <c r="D2" s="6" t="s">
        <v>396</v>
      </c>
      <c r="E2" s="6" t="s">
        <v>397</v>
      </c>
      <c r="F2" s="6" t="s">
        <v>398</v>
      </c>
      <c r="G2" s="6" t="s">
        <v>399</v>
      </c>
      <c r="H2" s="6" t="s">
        <v>400</v>
      </c>
      <c r="I2" s="6" t="s">
        <v>401</v>
      </c>
      <c r="J2" s="6" t="s">
        <v>402</v>
      </c>
      <c r="K2" s="6" t="s">
        <v>403</v>
      </c>
      <c r="L2" s="6" t="s">
        <v>404</v>
      </c>
    </row>
    <row r="3" spans="1:12" ht="48" customHeight="1" x14ac:dyDescent="0.3">
      <c r="A3" s="55" t="s">
        <v>32</v>
      </c>
      <c r="B3" s="56" t="s">
        <v>405</v>
      </c>
      <c r="C3" s="53" t="s">
        <v>406</v>
      </c>
      <c r="D3" s="53" t="s">
        <v>407</v>
      </c>
      <c r="E3" s="53" t="s">
        <v>408</v>
      </c>
      <c r="F3" s="56" t="s">
        <v>409</v>
      </c>
      <c r="G3" s="57" t="s">
        <v>410</v>
      </c>
      <c r="H3" s="56" t="s">
        <v>411</v>
      </c>
      <c r="I3" s="56" t="s">
        <v>412</v>
      </c>
      <c r="J3" s="36" t="s">
        <v>27</v>
      </c>
      <c r="K3" s="53" t="s">
        <v>102</v>
      </c>
      <c r="L3" s="53" t="s">
        <v>413</v>
      </c>
    </row>
    <row r="4" spans="1:12" ht="48" customHeight="1" x14ac:dyDescent="0.3">
      <c r="A4" s="55" t="s">
        <v>32</v>
      </c>
      <c r="B4" s="58" t="s">
        <v>414</v>
      </c>
      <c r="C4" s="54" t="s">
        <v>415</v>
      </c>
      <c r="D4" s="54" t="s">
        <v>416</v>
      </c>
      <c r="E4" s="54" t="s">
        <v>417</v>
      </c>
      <c r="F4" s="58" t="s">
        <v>418</v>
      </c>
      <c r="G4" s="57" t="s">
        <v>410</v>
      </c>
      <c r="H4" s="58" t="s">
        <v>419</v>
      </c>
      <c r="I4" s="58" t="s">
        <v>420</v>
      </c>
      <c r="J4" s="36" t="s">
        <v>27</v>
      </c>
      <c r="K4" s="54" t="s">
        <v>124</v>
      </c>
      <c r="L4" s="54" t="s">
        <v>421</v>
      </c>
    </row>
    <row r="5" spans="1:12" ht="48" customHeight="1" x14ac:dyDescent="0.3">
      <c r="A5" s="55" t="s">
        <v>32</v>
      </c>
      <c r="B5" s="56" t="s">
        <v>422</v>
      </c>
      <c r="C5" s="53" t="s">
        <v>165</v>
      </c>
      <c r="D5" s="53" t="s">
        <v>423</v>
      </c>
      <c r="E5" s="53" t="s">
        <v>424</v>
      </c>
      <c r="F5" s="56" t="s">
        <v>425</v>
      </c>
      <c r="G5" s="41" t="s">
        <v>426</v>
      </c>
      <c r="H5" s="56" t="s">
        <v>427</v>
      </c>
      <c r="I5" s="56" t="s">
        <v>428</v>
      </c>
      <c r="J5" s="41" t="s">
        <v>29</v>
      </c>
      <c r="K5" s="53" t="s">
        <v>103</v>
      </c>
      <c r="L5" s="53" t="s">
        <v>101</v>
      </c>
    </row>
    <row r="6" spans="1:12" ht="48" customHeight="1" x14ac:dyDescent="0.3">
      <c r="A6" s="55" t="s">
        <v>32</v>
      </c>
      <c r="B6" s="58" t="s">
        <v>429</v>
      </c>
      <c r="C6" s="54" t="s">
        <v>430</v>
      </c>
      <c r="D6" s="54" t="s">
        <v>431</v>
      </c>
      <c r="E6" s="54" t="s">
        <v>432</v>
      </c>
      <c r="F6" s="58" t="s">
        <v>433</v>
      </c>
      <c r="G6" s="36" t="s">
        <v>434</v>
      </c>
      <c r="H6" s="58" t="s">
        <v>435</v>
      </c>
      <c r="I6" s="58" t="s">
        <v>436</v>
      </c>
      <c r="J6" s="32" t="s">
        <v>26</v>
      </c>
      <c r="K6" s="54" t="s">
        <v>102</v>
      </c>
      <c r="L6" s="54" t="s">
        <v>437</v>
      </c>
    </row>
    <row r="7" spans="1:12" ht="48" customHeight="1" x14ac:dyDescent="0.3">
      <c r="A7" s="55" t="s">
        <v>32</v>
      </c>
      <c r="B7" s="56" t="s">
        <v>438</v>
      </c>
      <c r="C7" s="53" t="s">
        <v>439</v>
      </c>
      <c r="D7" s="53" t="s">
        <v>440</v>
      </c>
      <c r="E7" s="53" t="s">
        <v>441</v>
      </c>
      <c r="F7" s="56" t="s">
        <v>442</v>
      </c>
      <c r="G7" s="57" t="s">
        <v>410</v>
      </c>
      <c r="H7" s="56" t="s">
        <v>443</v>
      </c>
      <c r="I7" s="56" t="s">
        <v>444</v>
      </c>
      <c r="J7" s="32" t="s">
        <v>26</v>
      </c>
      <c r="K7" s="53" t="s">
        <v>124</v>
      </c>
      <c r="L7" s="53" t="s">
        <v>445</v>
      </c>
    </row>
    <row r="8" spans="1:12" ht="48" customHeight="1" x14ac:dyDescent="0.3">
      <c r="A8" s="55" t="s">
        <v>32</v>
      </c>
      <c r="B8" s="58" t="s">
        <v>446</v>
      </c>
      <c r="C8" s="54" t="s">
        <v>301</v>
      </c>
      <c r="D8" s="54" t="s">
        <v>447</v>
      </c>
      <c r="E8" s="54" t="s">
        <v>448</v>
      </c>
      <c r="F8" s="58" t="s">
        <v>449</v>
      </c>
      <c r="G8" s="57" t="s">
        <v>410</v>
      </c>
      <c r="H8" s="58" t="s">
        <v>450</v>
      </c>
      <c r="I8" s="58" t="s">
        <v>451</v>
      </c>
      <c r="J8" s="36" t="s">
        <v>27</v>
      </c>
      <c r="K8" s="54" t="s">
        <v>179</v>
      </c>
      <c r="L8" s="54" t="s">
        <v>452</v>
      </c>
    </row>
    <row r="9" spans="1:12" ht="48" customHeight="1" x14ac:dyDescent="0.3">
      <c r="A9" s="55" t="s">
        <v>32</v>
      </c>
      <c r="B9" s="56" t="s">
        <v>453</v>
      </c>
      <c r="C9" s="53" t="s">
        <v>454</v>
      </c>
      <c r="D9" s="53" t="s">
        <v>455</v>
      </c>
      <c r="E9" s="53" t="s">
        <v>456</v>
      </c>
      <c r="F9" s="56" t="s">
        <v>457</v>
      </c>
      <c r="G9" s="57" t="s">
        <v>410</v>
      </c>
      <c r="H9" s="56" t="s">
        <v>458</v>
      </c>
      <c r="I9" s="56" t="s">
        <v>459</v>
      </c>
      <c r="J9" s="57" t="s">
        <v>28</v>
      </c>
      <c r="K9" s="53" t="s">
        <v>103</v>
      </c>
      <c r="L9" s="53" t="s">
        <v>460</v>
      </c>
    </row>
    <row r="10" spans="1:12" ht="48" customHeight="1" x14ac:dyDescent="0.3">
      <c r="A10" s="55" t="s">
        <v>32</v>
      </c>
      <c r="B10" s="58" t="s">
        <v>461</v>
      </c>
      <c r="C10" s="54" t="s">
        <v>454</v>
      </c>
      <c r="D10" s="54" t="s">
        <v>462</v>
      </c>
      <c r="E10" s="54" t="s">
        <v>463</v>
      </c>
      <c r="F10" s="58" t="s">
        <v>464</v>
      </c>
      <c r="G10" s="57" t="s">
        <v>410</v>
      </c>
      <c r="H10" s="58" t="s">
        <v>465</v>
      </c>
      <c r="I10" s="58" t="s">
        <v>466</v>
      </c>
      <c r="J10" s="57" t="s">
        <v>28</v>
      </c>
      <c r="K10" s="54" t="s">
        <v>278</v>
      </c>
      <c r="L10" s="54" t="s">
        <v>467</v>
      </c>
    </row>
    <row r="11" spans="1:12" ht="48" customHeight="1" x14ac:dyDescent="0.3">
      <c r="A11" s="59" t="s">
        <v>111</v>
      </c>
      <c r="B11" s="56" t="s">
        <v>468</v>
      </c>
      <c r="C11" s="53" t="s">
        <v>203</v>
      </c>
      <c r="D11" s="53" t="s">
        <v>469</v>
      </c>
      <c r="E11" s="53" t="s">
        <v>470</v>
      </c>
      <c r="F11" s="56" t="s">
        <v>471</v>
      </c>
      <c r="G11" s="57" t="s">
        <v>410</v>
      </c>
      <c r="H11" s="56" t="s">
        <v>472</v>
      </c>
      <c r="I11" s="56" t="s">
        <v>473</v>
      </c>
      <c r="J11" s="32" t="s">
        <v>26</v>
      </c>
      <c r="K11" s="53" t="s">
        <v>123</v>
      </c>
      <c r="L11" s="53" t="s">
        <v>413</v>
      </c>
    </row>
    <row r="12" spans="1:12" ht="48" customHeight="1" x14ac:dyDescent="0.3">
      <c r="A12" s="59" t="s">
        <v>111</v>
      </c>
      <c r="B12" s="58" t="s">
        <v>474</v>
      </c>
      <c r="C12" s="54" t="s">
        <v>266</v>
      </c>
      <c r="D12" s="54" t="s">
        <v>475</v>
      </c>
      <c r="E12" s="54" t="s">
        <v>476</v>
      </c>
      <c r="F12" s="58" t="s">
        <v>477</v>
      </c>
      <c r="G12" s="36" t="s">
        <v>434</v>
      </c>
      <c r="H12" s="58" t="s">
        <v>478</v>
      </c>
      <c r="I12" s="58" t="s">
        <v>479</v>
      </c>
      <c r="J12" s="32" t="s">
        <v>26</v>
      </c>
      <c r="K12" s="54" t="s">
        <v>179</v>
      </c>
      <c r="L12" s="54" t="s">
        <v>480</v>
      </c>
    </row>
    <row r="13" spans="1:12" ht="48" customHeight="1" x14ac:dyDescent="0.3">
      <c r="A13" s="59" t="s">
        <v>111</v>
      </c>
      <c r="B13" s="56" t="s">
        <v>481</v>
      </c>
      <c r="C13" s="53" t="s">
        <v>266</v>
      </c>
      <c r="D13" s="53" t="s">
        <v>475</v>
      </c>
      <c r="E13" s="53" t="s">
        <v>476</v>
      </c>
      <c r="F13" s="56" t="s">
        <v>482</v>
      </c>
      <c r="G13" s="57" t="s">
        <v>410</v>
      </c>
      <c r="H13" s="56" t="s">
        <v>483</v>
      </c>
      <c r="I13" s="56" t="s">
        <v>484</v>
      </c>
      <c r="J13" s="36" t="s">
        <v>27</v>
      </c>
      <c r="K13" s="53" t="s">
        <v>102</v>
      </c>
      <c r="L13" s="53" t="s">
        <v>437</v>
      </c>
    </row>
    <row r="14" spans="1:12" ht="48" customHeight="1" x14ac:dyDescent="0.3">
      <c r="A14" s="59" t="s">
        <v>111</v>
      </c>
      <c r="B14" s="58" t="s">
        <v>485</v>
      </c>
      <c r="C14" s="54" t="s">
        <v>266</v>
      </c>
      <c r="D14" s="54" t="s">
        <v>475</v>
      </c>
      <c r="E14" s="54" t="s">
        <v>476</v>
      </c>
      <c r="F14" s="58" t="s">
        <v>486</v>
      </c>
      <c r="G14" s="57" t="s">
        <v>410</v>
      </c>
      <c r="H14" s="58" t="s">
        <v>487</v>
      </c>
      <c r="I14" s="58" t="s">
        <v>488</v>
      </c>
      <c r="J14" s="36" t="s">
        <v>27</v>
      </c>
      <c r="K14" s="54" t="s">
        <v>124</v>
      </c>
      <c r="L14" s="54" t="s">
        <v>437</v>
      </c>
    </row>
    <row r="15" spans="1:12" ht="48" customHeight="1" x14ac:dyDescent="0.3">
      <c r="A15" s="59" t="s">
        <v>111</v>
      </c>
      <c r="B15" s="56" t="s">
        <v>489</v>
      </c>
      <c r="C15" s="53" t="s">
        <v>490</v>
      </c>
      <c r="D15" s="53" t="s">
        <v>491</v>
      </c>
      <c r="E15" s="53" t="s">
        <v>470</v>
      </c>
      <c r="F15" s="56" t="s">
        <v>492</v>
      </c>
      <c r="G15" s="41" t="s">
        <v>426</v>
      </c>
      <c r="H15" s="56" t="s">
        <v>493</v>
      </c>
      <c r="I15" s="56" t="s">
        <v>494</v>
      </c>
      <c r="J15" s="57" t="s">
        <v>28</v>
      </c>
      <c r="K15" s="53" t="s">
        <v>102</v>
      </c>
      <c r="L15" s="53" t="s">
        <v>101</v>
      </c>
    </row>
    <row r="16" spans="1:12" ht="48" customHeight="1" x14ac:dyDescent="0.3">
      <c r="A16" s="59" t="s">
        <v>111</v>
      </c>
      <c r="B16" s="58" t="s">
        <v>495</v>
      </c>
      <c r="C16" s="54" t="s">
        <v>496</v>
      </c>
      <c r="D16" s="54" t="s">
        <v>497</v>
      </c>
      <c r="E16" s="54" t="s">
        <v>498</v>
      </c>
      <c r="F16" s="58" t="s">
        <v>499</v>
      </c>
      <c r="G16" s="36" t="s">
        <v>434</v>
      </c>
      <c r="H16" s="58" t="s">
        <v>500</v>
      </c>
      <c r="I16" s="58" t="s">
        <v>501</v>
      </c>
      <c r="J16" s="57" t="s">
        <v>28</v>
      </c>
      <c r="K16" s="54" t="s">
        <v>278</v>
      </c>
      <c r="L16" s="54" t="s">
        <v>502</v>
      </c>
    </row>
    <row r="17" spans="1:12" ht="48" customHeight="1" x14ac:dyDescent="0.3">
      <c r="A17" s="60" t="s">
        <v>34</v>
      </c>
      <c r="B17" s="56" t="s">
        <v>503</v>
      </c>
      <c r="C17" s="53" t="s">
        <v>235</v>
      </c>
      <c r="D17" s="53" t="s">
        <v>504</v>
      </c>
      <c r="E17" s="53" t="s">
        <v>505</v>
      </c>
      <c r="F17" s="56" t="s">
        <v>506</v>
      </c>
      <c r="G17" s="57" t="s">
        <v>410</v>
      </c>
      <c r="H17" s="56" t="s">
        <v>507</v>
      </c>
      <c r="I17" s="56" t="s">
        <v>508</v>
      </c>
      <c r="J17" s="36" t="s">
        <v>27</v>
      </c>
      <c r="K17" s="53" t="s">
        <v>179</v>
      </c>
      <c r="L17" s="53" t="s">
        <v>101</v>
      </c>
    </row>
    <row r="18" spans="1:12" ht="48" customHeight="1" x14ac:dyDescent="0.3">
      <c r="A18" s="60" t="s">
        <v>34</v>
      </c>
      <c r="B18" s="58" t="s">
        <v>509</v>
      </c>
      <c r="C18" s="54" t="s">
        <v>510</v>
      </c>
      <c r="D18" s="54" t="s">
        <v>504</v>
      </c>
      <c r="E18" s="54" t="s">
        <v>511</v>
      </c>
      <c r="F18" s="58" t="s">
        <v>512</v>
      </c>
      <c r="G18" s="36" t="s">
        <v>434</v>
      </c>
      <c r="H18" s="58" t="s">
        <v>513</v>
      </c>
      <c r="I18" s="58" t="s">
        <v>514</v>
      </c>
      <c r="J18" s="32" t="s">
        <v>26</v>
      </c>
      <c r="K18" s="54" t="s">
        <v>515</v>
      </c>
      <c r="L18" s="54" t="s">
        <v>101</v>
      </c>
    </row>
    <row r="19" spans="1:12" ht="48" customHeight="1" x14ac:dyDescent="0.3">
      <c r="A19" s="60" t="s">
        <v>34</v>
      </c>
      <c r="B19" s="56" t="s">
        <v>516</v>
      </c>
      <c r="C19" s="53" t="s">
        <v>332</v>
      </c>
      <c r="D19" s="53" t="s">
        <v>517</v>
      </c>
      <c r="E19" s="53" t="s">
        <v>441</v>
      </c>
      <c r="F19" s="56" t="s">
        <v>518</v>
      </c>
      <c r="G19" s="36" t="s">
        <v>434</v>
      </c>
      <c r="H19" s="56" t="s">
        <v>519</v>
      </c>
      <c r="I19" s="56" t="s">
        <v>520</v>
      </c>
      <c r="J19" s="32" t="s">
        <v>26</v>
      </c>
      <c r="K19" s="53" t="s">
        <v>124</v>
      </c>
      <c r="L19" s="53" t="s">
        <v>445</v>
      </c>
    </row>
    <row r="20" spans="1:12" ht="48" customHeight="1" x14ac:dyDescent="0.3">
      <c r="A20" s="60" t="s">
        <v>34</v>
      </c>
      <c r="B20" s="58" t="s">
        <v>521</v>
      </c>
      <c r="C20" s="54" t="s">
        <v>522</v>
      </c>
      <c r="D20" s="54" t="s">
        <v>517</v>
      </c>
      <c r="E20" s="54" t="s">
        <v>523</v>
      </c>
      <c r="F20" s="58" t="s">
        <v>524</v>
      </c>
      <c r="G20" s="36" t="s">
        <v>434</v>
      </c>
      <c r="H20" s="58" t="s">
        <v>525</v>
      </c>
      <c r="I20" s="58" t="s">
        <v>526</v>
      </c>
      <c r="J20" s="36" t="s">
        <v>27</v>
      </c>
      <c r="K20" s="54" t="s">
        <v>159</v>
      </c>
      <c r="L20" s="54" t="s">
        <v>101</v>
      </c>
    </row>
    <row r="21" spans="1:12" ht="48" customHeight="1" x14ac:dyDescent="0.3">
      <c r="A21" s="60" t="s">
        <v>34</v>
      </c>
      <c r="B21" s="56" t="s">
        <v>527</v>
      </c>
      <c r="C21" s="53" t="s">
        <v>528</v>
      </c>
      <c r="D21" s="53" t="s">
        <v>529</v>
      </c>
      <c r="E21" s="53" t="s">
        <v>505</v>
      </c>
      <c r="F21" s="56" t="s">
        <v>530</v>
      </c>
      <c r="G21" s="57" t="s">
        <v>410</v>
      </c>
      <c r="H21" s="56" t="s">
        <v>531</v>
      </c>
      <c r="I21" s="56" t="s">
        <v>532</v>
      </c>
      <c r="J21" s="36" t="s">
        <v>27</v>
      </c>
      <c r="K21" s="53" t="s">
        <v>295</v>
      </c>
      <c r="L21" s="53" t="s">
        <v>533</v>
      </c>
    </row>
    <row r="22" spans="1:12" ht="48" customHeight="1" x14ac:dyDescent="0.3">
      <c r="A22" s="61" t="s">
        <v>35</v>
      </c>
      <c r="B22" s="58" t="s">
        <v>534</v>
      </c>
      <c r="C22" s="54" t="s">
        <v>252</v>
      </c>
      <c r="D22" s="54" t="s">
        <v>535</v>
      </c>
      <c r="E22" s="54" t="s">
        <v>536</v>
      </c>
      <c r="F22" s="58" t="s">
        <v>537</v>
      </c>
      <c r="G22" s="36" t="s">
        <v>434</v>
      </c>
      <c r="H22" s="58" t="s">
        <v>538</v>
      </c>
      <c r="I22" s="58" t="s">
        <v>539</v>
      </c>
      <c r="J22" s="32" t="s">
        <v>26</v>
      </c>
      <c r="K22" s="54" t="s">
        <v>102</v>
      </c>
      <c r="L22" s="54" t="s">
        <v>137</v>
      </c>
    </row>
    <row r="23" spans="1:12" ht="48" customHeight="1" x14ac:dyDescent="0.3">
      <c r="A23" s="61" t="s">
        <v>35</v>
      </c>
      <c r="B23" s="56" t="s">
        <v>540</v>
      </c>
      <c r="C23" s="53" t="s">
        <v>541</v>
      </c>
      <c r="D23" s="53" t="s">
        <v>542</v>
      </c>
      <c r="E23" s="53" t="s">
        <v>543</v>
      </c>
      <c r="F23" s="56" t="s">
        <v>544</v>
      </c>
      <c r="G23" s="57" t="s">
        <v>410</v>
      </c>
      <c r="H23" s="56" t="s">
        <v>545</v>
      </c>
      <c r="I23" s="56" t="s">
        <v>546</v>
      </c>
      <c r="J23" s="36" t="s">
        <v>27</v>
      </c>
      <c r="K23" s="53" t="s">
        <v>103</v>
      </c>
      <c r="L23" s="53" t="s">
        <v>547</v>
      </c>
    </row>
    <row r="24" spans="1:12" ht="48" customHeight="1" x14ac:dyDescent="0.3">
      <c r="A24" s="61" t="s">
        <v>35</v>
      </c>
      <c r="B24" s="58" t="s">
        <v>548</v>
      </c>
      <c r="C24" s="54" t="s">
        <v>549</v>
      </c>
      <c r="D24" s="54" t="s">
        <v>542</v>
      </c>
      <c r="E24" s="54" t="s">
        <v>550</v>
      </c>
      <c r="F24" s="58" t="s">
        <v>551</v>
      </c>
      <c r="G24" s="36" t="s">
        <v>434</v>
      </c>
      <c r="H24" s="58" t="s">
        <v>552</v>
      </c>
      <c r="I24" s="58" t="s">
        <v>553</v>
      </c>
      <c r="J24" s="36" t="s">
        <v>27</v>
      </c>
      <c r="K24" s="54" t="s">
        <v>103</v>
      </c>
      <c r="L24" s="54" t="s">
        <v>142</v>
      </c>
    </row>
    <row r="25" spans="1:12" ht="48" customHeight="1" x14ac:dyDescent="0.3">
      <c r="A25" s="61" t="s">
        <v>35</v>
      </c>
      <c r="B25" s="56" t="s">
        <v>554</v>
      </c>
      <c r="C25" s="53" t="s">
        <v>555</v>
      </c>
      <c r="D25" s="53" t="s">
        <v>535</v>
      </c>
      <c r="E25" s="53" t="s">
        <v>556</v>
      </c>
      <c r="F25" s="56" t="s">
        <v>557</v>
      </c>
      <c r="G25" s="57" t="s">
        <v>410</v>
      </c>
      <c r="H25" s="56" t="s">
        <v>558</v>
      </c>
      <c r="I25" s="56" t="s">
        <v>559</v>
      </c>
      <c r="J25" s="57" t="s">
        <v>28</v>
      </c>
      <c r="K25" s="53" t="s">
        <v>278</v>
      </c>
      <c r="L25" s="53" t="s">
        <v>560</v>
      </c>
    </row>
    <row r="26" spans="1:12" ht="48" customHeight="1" x14ac:dyDescent="0.3">
      <c r="A26" s="61" t="s">
        <v>35</v>
      </c>
      <c r="B26" s="58" t="s">
        <v>561</v>
      </c>
      <c r="C26" s="54" t="s">
        <v>562</v>
      </c>
      <c r="D26" s="54" t="s">
        <v>535</v>
      </c>
      <c r="E26" s="54" t="s">
        <v>563</v>
      </c>
      <c r="F26" s="58" t="s">
        <v>564</v>
      </c>
      <c r="G26" s="57" t="s">
        <v>410</v>
      </c>
      <c r="H26" s="58" t="s">
        <v>565</v>
      </c>
      <c r="I26" s="58" t="s">
        <v>566</v>
      </c>
      <c r="J26" s="36" t="s">
        <v>27</v>
      </c>
      <c r="K26" s="54" t="s">
        <v>124</v>
      </c>
      <c r="L26" s="54" t="s">
        <v>567</v>
      </c>
    </row>
    <row r="27" spans="1:12" ht="48" customHeight="1" x14ac:dyDescent="0.3">
      <c r="A27" s="61" t="s">
        <v>35</v>
      </c>
      <c r="B27" s="56" t="s">
        <v>568</v>
      </c>
      <c r="C27" s="53" t="s">
        <v>569</v>
      </c>
      <c r="D27" s="53" t="s">
        <v>570</v>
      </c>
      <c r="E27" s="53" t="s">
        <v>571</v>
      </c>
      <c r="F27" s="56" t="s">
        <v>572</v>
      </c>
      <c r="G27" s="57" t="s">
        <v>410</v>
      </c>
      <c r="H27" s="56" t="s">
        <v>573</v>
      </c>
      <c r="I27" s="56" t="s">
        <v>574</v>
      </c>
      <c r="J27" s="57" t="s">
        <v>28</v>
      </c>
      <c r="K27" s="53" t="s">
        <v>278</v>
      </c>
      <c r="L27" s="53" t="s">
        <v>575</v>
      </c>
    </row>
    <row r="28" spans="1:12" ht="48" customHeight="1" x14ac:dyDescent="0.3">
      <c r="A28" s="62" t="s">
        <v>36</v>
      </c>
      <c r="B28" s="58" t="s">
        <v>576</v>
      </c>
      <c r="C28" s="54" t="s">
        <v>317</v>
      </c>
      <c r="D28" s="54" t="s">
        <v>577</v>
      </c>
      <c r="E28" s="54" t="s">
        <v>578</v>
      </c>
      <c r="F28" s="58" t="s">
        <v>579</v>
      </c>
      <c r="G28" s="36" t="s">
        <v>434</v>
      </c>
      <c r="H28" s="58" t="s">
        <v>580</v>
      </c>
      <c r="I28" s="58" t="s">
        <v>581</v>
      </c>
      <c r="J28" s="57" t="s">
        <v>28</v>
      </c>
      <c r="K28" s="54" t="s">
        <v>103</v>
      </c>
      <c r="L28" s="54" t="s">
        <v>101</v>
      </c>
    </row>
    <row r="29" spans="1:12" ht="48" customHeight="1" x14ac:dyDescent="0.3">
      <c r="A29" s="62" t="s">
        <v>36</v>
      </c>
      <c r="B29" s="56" t="s">
        <v>582</v>
      </c>
      <c r="C29" s="53" t="s">
        <v>317</v>
      </c>
      <c r="D29" s="53" t="s">
        <v>475</v>
      </c>
      <c r="E29" s="53" t="s">
        <v>583</v>
      </c>
      <c r="F29" s="56" t="s">
        <v>584</v>
      </c>
      <c r="G29" s="57" t="s">
        <v>410</v>
      </c>
      <c r="H29" s="56" t="s">
        <v>585</v>
      </c>
      <c r="I29" s="56" t="s">
        <v>586</v>
      </c>
      <c r="J29" s="41" t="s">
        <v>29</v>
      </c>
      <c r="K29" s="53" t="s">
        <v>295</v>
      </c>
      <c r="L29" s="53" t="s">
        <v>587</v>
      </c>
    </row>
    <row r="30" spans="1:12" ht="48" customHeight="1" x14ac:dyDescent="0.3">
      <c r="A30" s="62" t="s">
        <v>36</v>
      </c>
      <c r="B30" s="58" t="s">
        <v>588</v>
      </c>
      <c r="C30" s="54" t="s">
        <v>317</v>
      </c>
      <c r="D30" s="54" t="s">
        <v>577</v>
      </c>
      <c r="E30" s="54" t="s">
        <v>578</v>
      </c>
      <c r="F30" s="58" t="s">
        <v>589</v>
      </c>
      <c r="G30" s="57" t="s">
        <v>410</v>
      </c>
      <c r="H30" s="58" t="s">
        <v>590</v>
      </c>
      <c r="I30" s="58" t="s">
        <v>591</v>
      </c>
      <c r="J30" s="57" t="s">
        <v>28</v>
      </c>
      <c r="K30" s="54" t="s">
        <v>278</v>
      </c>
      <c r="L30" s="54" t="s">
        <v>101</v>
      </c>
    </row>
    <row r="31" spans="1:12" ht="48" customHeight="1" x14ac:dyDescent="0.3">
      <c r="A31" s="63" t="s">
        <v>592</v>
      </c>
      <c r="B31" s="56" t="s">
        <v>593</v>
      </c>
      <c r="C31" s="53" t="s">
        <v>594</v>
      </c>
      <c r="D31" s="53" t="s">
        <v>535</v>
      </c>
      <c r="E31" s="53" t="s">
        <v>595</v>
      </c>
      <c r="F31" s="56" t="s">
        <v>596</v>
      </c>
      <c r="G31" s="36" t="s">
        <v>434</v>
      </c>
      <c r="H31" s="56" t="s">
        <v>597</v>
      </c>
      <c r="I31" s="56" t="s">
        <v>598</v>
      </c>
      <c r="J31" s="32" t="s">
        <v>26</v>
      </c>
      <c r="K31" s="53" t="s">
        <v>102</v>
      </c>
      <c r="L31" s="53" t="s">
        <v>480</v>
      </c>
    </row>
    <row r="32" spans="1:12" ht="48" customHeight="1" x14ac:dyDescent="0.3">
      <c r="A32" s="63" t="s">
        <v>592</v>
      </c>
      <c r="B32" s="58" t="s">
        <v>599</v>
      </c>
      <c r="C32" s="54" t="s">
        <v>600</v>
      </c>
      <c r="D32" s="54" t="s">
        <v>601</v>
      </c>
      <c r="E32" s="54" t="s">
        <v>602</v>
      </c>
      <c r="F32" s="58" t="s">
        <v>603</v>
      </c>
      <c r="G32" s="57" t="s">
        <v>410</v>
      </c>
      <c r="H32" s="58" t="s">
        <v>604</v>
      </c>
      <c r="I32" s="58" t="s">
        <v>605</v>
      </c>
      <c r="J32" s="36" t="s">
        <v>27</v>
      </c>
      <c r="K32" s="54" t="s">
        <v>102</v>
      </c>
      <c r="L32" s="54" t="s">
        <v>606</v>
      </c>
    </row>
    <row r="33" spans="1:12" ht="48" customHeight="1" x14ac:dyDescent="0.3">
      <c r="A33" s="63" t="s">
        <v>592</v>
      </c>
      <c r="B33" s="56" t="s">
        <v>607</v>
      </c>
      <c r="C33" s="53" t="s">
        <v>608</v>
      </c>
      <c r="D33" s="53" t="s">
        <v>609</v>
      </c>
      <c r="E33" s="53" t="s">
        <v>610</v>
      </c>
      <c r="F33" s="56" t="s">
        <v>611</v>
      </c>
      <c r="G33" s="57" t="s">
        <v>410</v>
      </c>
      <c r="H33" s="56" t="s">
        <v>612</v>
      </c>
      <c r="I33" s="56" t="s">
        <v>613</v>
      </c>
      <c r="J33" s="36" t="s">
        <v>27</v>
      </c>
      <c r="K33" s="53" t="s">
        <v>103</v>
      </c>
      <c r="L33" s="53" t="s">
        <v>614</v>
      </c>
    </row>
    <row r="34" spans="1:12" ht="48" customHeight="1" x14ac:dyDescent="0.3">
      <c r="A34" s="63" t="s">
        <v>592</v>
      </c>
      <c r="B34" s="58" t="s">
        <v>615</v>
      </c>
      <c r="C34" s="54" t="s">
        <v>616</v>
      </c>
      <c r="D34" s="54" t="s">
        <v>617</v>
      </c>
      <c r="E34" s="54" t="s">
        <v>408</v>
      </c>
      <c r="F34" s="58" t="s">
        <v>618</v>
      </c>
      <c r="G34" s="57" t="s">
        <v>410</v>
      </c>
      <c r="H34" s="58" t="s">
        <v>619</v>
      </c>
      <c r="I34" s="58" t="s">
        <v>620</v>
      </c>
      <c r="J34" s="36" t="s">
        <v>27</v>
      </c>
      <c r="K34" s="54" t="s">
        <v>103</v>
      </c>
      <c r="L34" s="54" t="s">
        <v>621</v>
      </c>
    </row>
    <row r="35" spans="1:12" ht="48" customHeight="1" x14ac:dyDescent="0.3">
      <c r="A35" s="63" t="s">
        <v>592</v>
      </c>
      <c r="B35" s="56" t="s">
        <v>622</v>
      </c>
      <c r="C35" s="53" t="s">
        <v>623</v>
      </c>
      <c r="D35" s="53" t="s">
        <v>624</v>
      </c>
      <c r="E35" s="53" t="s">
        <v>578</v>
      </c>
      <c r="F35" s="56" t="s">
        <v>625</v>
      </c>
      <c r="G35" s="57" t="s">
        <v>410</v>
      </c>
      <c r="H35" s="56" t="s">
        <v>626</v>
      </c>
      <c r="I35" s="56" t="s">
        <v>627</v>
      </c>
      <c r="J35" s="57" t="s">
        <v>28</v>
      </c>
      <c r="K35" s="53" t="s">
        <v>103</v>
      </c>
      <c r="L35" s="53" t="s">
        <v>628</v>
      </c>
    </row>
    <row r="38" spans="1:12" ht="19.5" customHeight="1" x14ac:dyDescent="0.3">
      <c r="A38" s="83" t="s">
        <v>629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</sheetData>
  <mergeCells count="2">
    <mergeCell ref="A1:L1"/>
    <mergeCell ref="A38:L3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tabSelected="1" zoomScaleNormal="100" workbookViewId="0">
      <pane ySplit="2" topLeftCell="A3" activePane="bottomLeft" state="frozen"/>
      <selection pane="bottomLeft" activeCell="E11" sqref="E11"/>
    </sheetView>
  </sheetViews>
  <sheetFormatPr defaultColWidth="8.6640625" defaultRowHeight="14.4" x14ac:dyDescent="0.3"/>
  <cols>
    <col min="1" max="1" width="20" customWidth="1"/>
    <col min="2" max="2" width="28" customWidth="1"/>
    <col min="3" max="3" width="13" customWidth="1"/>
    <col min="4" max="5" width="16" customWidth="1"/>
    <col min="6" max="7" width="12" customWidth="1"/>
    <col min="8" max="9" width="16" customWidth="1"/>
    <col min="10" max="11" width="14" customWidth="1"/>
    <col min="12" max="13" width="30" customWidth="1"/>
  </cols>
  <sheetData>
    <row r="1" spans="1:13" ht="24" customHeight="1" x14ac:dyDescent="0.3">
      <c r="A1" s="108" t="s">
        <v>630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3" ht="30" customHeight="1" x14ac:dyDescent="0.3">
      <c r="A2" s="64" t="s">
        <v>631</v>
      </c>
      <c r="B2" s="64" t="s">
        <v>632</v>
      </c>
      <c r="C2" s="64" t="s">
        <v>633</v>
      </c>
      <c r="D2" s="64" t="s">
        <v>634</v>
      </c>
      <c r="E2" s="64" t="s">
        <v>635</v>
      </c>
      <c r="F2" s="64" t="s">
        <v>636</v>
      </c>
      <c r="G2" s="64" t="s">
        <v>637</v>
      </c>
      <c r="H2" s="64" t="s">
        <v>638</v>
      </c>
      <c r="I2" s="64" t="s">
        <v>639</v>
      </c>
      <c r="J2" s="64" t="s">
        <v>640</v>
      </c>
      <c r="K2" s="64" t="s">
        <v>641</v>
      </c>
      <c r="L2" s="64" t="s">
        <v>642</v>
      </c>
      <c r="M2" s="64" t="s">
        <v>643</v>
      </c>
    </row>
    <row r="3" spans="1:13" ht="45.75" customHeight="1" x14ac:dyDescent="0.3">
      <c r="A3" s="65" t="s">
        <v>644</v>
      </c>
      <c r="B3" s="66" t="s">
        <v>645</v>
      </c>
      <c r="C3" s="67" t="s">
        <v>26</v>
      </c>
      <c r="D3" s="68" t="s">
        <v>646</v>
      </c>
      <c r="E3" s="69" t="s">
        <v>647</v>
      </c>
      <c r="F3" s="68" t="s">
        <v>648</v>
      </c>
      <c r="G3" s="70" t="s">
        <v>26</v>
      </c>
      <c r="H3" s="68" t="s">
        <v>649</v>
      </c>
      <c r="I3" s="67" t="s">
        <v>434</v>
      </c>
      <c r="J3" s="68" t="s">
        <v>650</v>
      </c>
      <c r="K3" s="68" t="s">
        <v>651</v>
      </c>
      <c r="L3" s="66" t="s">
        <v>652</v>
      </c>
      <c r="M3" s="66" t="s">
        <v>653</v>
      </c>
    </row>
    <row r="4" spans="1:13" ht="45.75" customHeight="1" x14ac:dyDescent="0.3">
      <c r="A4" s="71" t="s">
        <v>654</v>
      </c>
      <c r="B4" s="72" t="s">
        <v>655</v>
      </c>
      <c r="C4" s="67" t="s">
        <v>26</v>
      </c>
      <c r="D4" s="73" t="s">
        <v>646</v>
      </c>
      <c r="E4" s="69" t="s">
        <v>410</v>
      </c>
      <c r="F4" s="73" t="s">
        <v>656</v>
      </c>
      <c r="G4" s="70" t="s">
        <v>26</v>
      </c>
      <c r="H4" s="73" t="s">
        <v>657</v>
      </c>
      <c r="I4" s="67" t="s">
        <v>434</v>
      </c>
      <c r="J4" s="73" t="s">
        <v>658</v>
      </c>
      <c r="K4" s="73" t="s">
        <v>659</v>
      </c>
      <c r="L4" s="72" t="s">
        <v>660</v>
      </c>
      <c r="M4" s="72" t="s">
        <v>661</v>
      </c>
    </row>
    <row r="5" spans="1:13" ht="45.75" customHeight="1" x14ac:dyDescent="0.3">
      <c r="A5" s="65" t="s">
        <v>662</v>
      </c>
      <c r="B5" s="66" t="s">
        <v>663</v>
      </c>
      <c r="C5" s="67" t="s">
        <v>26</v>
      </c>
      <c r="D5" s="68" t="s">
        <v>646</v>
      </c>
      <c r="E5" s="74" t="s">
        <v>426</v>
      </c>
      <c r="F5" s="68" t="s">
        <v>656</v>
      </c>
      <c r="G5" s="75" t="s">
        <v>28</v>
      </c>
      <c r="H5" s="68" t="s">
        <v>664</v>
      </c>
      <c r="I5" s="69" t="s">
        <v>665</v>
      </c>
      <c r="J5" s="68" t="s">
        <v>666</v>
      </c>
      <c r="K5" s="68" t="s">
        <v>667</v>
      </c>
      <c r="L5" s="66" t="s">
        <v>668</v>
      </c>
      <c r="M5" s="66" t="s">
        <v>669</v>
      </c>
    </row>
    <row r="6" spans="1:13" ht="45.75" customHeight="1" x14ac:dyDescent="0.3">
      <c r="A6" s="71" t="s">
        <v>670</v>
      </c>
      <c r="B6" s="72" t="s">
        <v>671</v>
      </c>
      <c r="C6" s="67" t="s">
        <v>26</v>
      </c>
      <c r="D6" s="73" t="s">
        <v>646</v>
      </c>
      <c r="E6" s="69" t="s">
        <v>410</v>
      </c>
      <c r="F6" s="73" t="s">
        <v>672</v>
      </c>
      <c r="G6" s="70" t="s">
        <v>27</v>
      </c>
      <c r="H6" s="73" t="s">
        <v>673</v>
      </c>
      <c r="I6" s="69" t="s">
        <v>665</v>
      </c>
      <c r="J6" s="73" t="s">
        <v>674</v>
      </c>
      <c r="K6" s="73" t="s">
        <v>675</v>
      </c>
      <c r="L6" s="72" t="s">
        <v>676</v>
      </c>
      <c r="M6" s="72" t="s">
        <v>677</v>
      </c>
    </row>
    <row r="7" spans="1:13" ht="45.75" customHeight="1" x14ac:dyDescent="0.3">
      <c r="A7" s="65" t="s">
        <v>678</v>
      </c>
      <c r="B7" s="66" t="s">
        <v>679</v>
      </c>
      <c r="C7" s="69" t="s">
        <v>680</v>
      </c>
      <c r="D7" s="68" t="s">
        <v>681</v>
      </c>
      <c r="E7" s="74" t="s">
        <v>426</v>
      </c>
      <c r="F7" s="68" t="s">
        <v>656</v>
      </c>
      <c r="G7" s="75" t="s">
        <v>28</v>
      </c>
      <c r="H7" s="68" t="s">
        <v>682</v>
      </c>
      <c r="I7" s="74" t="s">
        <v>683</v>
      </c>
      <c r="J7" s="68" t="s">
        <v>684</v>
      </c>
      <c r="K7" s="68" t="s">
        <v>685</v>
      </c>
      <c r="L7" s="66" t="s">
        <v>686</v>
      </c>
      <c r="M7" s="66" t="s">
        <v>687</v>
      </c>
    </row>
    <row r="8" spans="1:13" ht="45.75" customHeight="1" x14ac:dyDescent="0.3">
      <c r="A8" s="71" t="s">
        <v>688</v>
      </c>
      <c r="B8" s="72" t="s">
        <v>689</v>
      </c>
      <c r="C8" s="67" t="s">
        <v>26</v>
      </c>
      <c r="D8" s="73" t="s">
        <v>646</v>
      </c>
      <c r="E8" s="69" t="s">
        <v>410</v>
      </c>
      <c r="F8" s="73" t="s">
        <v>690</v>
      </c>
      <c r="G8" s="70" t="s">
        <v>26</v>
      </c>
      <c r="H8" s="73" t="s">
        <v>691</v>
      </c>
      <c r="I8" s="67" t="s">
        <v>434</v>
      </c>
      <c r="J8" s="73" t="s">
        <v>692</v>
      </c>
      <c r="K8" s="73" t="s">
        <v>693</v>
      </c>
      <c r="L8" s="72" t="s">
        <v>694</v>
      </c>
      <c r="M8" s="72" t="s">
        <v>695</v>
      </c>
    </row>
    <row r="9" spans="1:13" ht="45.75" customHeight="1" x14ac:dyDescent="0.3">
      <c r="A9" s="65" t="s">
        <v>696</v>
      </c>
      <c r="B9" s="66" t="s">
        <v>697</v>
      </c>
      <c r="C9" s="69" t="s">
        <v>680</v>
      </c>
      <c r="D9" s="68" t="s">
        <v>681</v>
      </c>
      <c r="E9" s="69" t="s">
        <v>410</v>
      </c>
      <c r="F9" s="68" t="s">
        <v>690</v>
      </c>
      <c r="G9" s="75" t="s">
        <v>28</v>
      </c>
      <c r="H9" s="68" t="s">
        <v>682</v>
      </c>
      <c r="I9" s="76" t="s">
        <v>410</v>
      </c>
      <c r="J9" s="68" t="s">
        <v>698</v>
      </c>
      <c r="K9" s="68" t="s">
        <v>699</v>
      </c>
      <c r="L9" s="66" t="s">
        <v>700</v>
      </c>
      <c r="M9" s="66" t="s">
        <v>701</v>
      </c>
    </row>
    <row r="10" spans="1:13" ht="45.75" customHeight="1" x14ac:dyDescent="0.3">
      <c r="A10" s="71" t="s">
        <v>702</v>
      </c>
      <c r="B10" s="72" t="s">
        <v>703</v>
      </c>
      <c r="C10" s="74" t="s">
        <v>704</v>
      </c>
      <c r="D10" s="73" t="s">
        <v>705</v>
      </c>
      <c r="E10" s="74" t="s">
        <v>426</v>
      </c>
      <c r="F10" s="73" t="s">
        <v>656</v>
      </c>
      <c r="G10" s="77" t="s">
        <v>29</v>
      </c>
      <c r="H10" s="73" t="s">
        <v>682</v>
      </c>
      <c r="I10" s="74" t="s">
        <v>683</v>
      </c>
      <c r="J10" s="73" t="s">
        <v>706</v>
      </c>
      <c r="K10" s="73" t="s">
        <v>707</v>
      </c>
      <c r="L10" s="72" t="s">
        <v>708</v>
      </c>
      <c r="M10" s="72" t="s">
        <v>709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ICT Risk Register</vt:lpstr>
      <vt:lpstr>Risk Matrix</vt:lpstr>
      <vt:lpstr>DORA Gap Analysis</vt:lpstr>
      <vt:lpstr>Vendor Risk (Art.28)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Shingirai Marenga</cp:lastModifiedBy>
  <cp:revision>0</cp:revision>
  <dcterms:created xsi:type="dcterms:W3CDTF">2026-06-01T21:31:03Z</dcterms:created>
  <dcterms:modified xsi:type="dcterms:W3CDTF">2026-06-08T07:38:37Z</dcterms:modified>
  <dc:language>en-US</dc:language>
</cp:coreProperties>
</file>